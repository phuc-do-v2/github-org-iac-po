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c43bd102d34f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ebdcba8f80f948fc"/>
    <x:sheet xmlns:r="http://schemas.openxmlformats.org/officeDocument/2006/relationships" name="IaC nhưng Manual UI" sheetId="2" r:id="R68d5a35b92ce4b44"/>
    <x:sheet xmlns:r="http://schemas.openxmlformats.org/officeDocument/2006/relationships" name="Lộ trình" sheetId="3" r:id="R31cd41a56bf841fe"/>
    <x:sheet xmlns:r="http://schemas.openxmlformats.org/officeDocument/2006/relationships" name="Kiểm thử &amp; rủi ro" sheetId="4" r:id="R81ff6aea47154f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name val="Carlito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1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  <x:font>
      <x:b/>
      <x:sz val="10"/>
      <x:color rgb="FF2F75B5"/>
      <x:name val="Arial"/>
    </x:font>
    <x:font>
      <x:b/>
      <x:sz val="9"/>
      <x:color rgb="FF17365D"/>
      <x:name val="Arial"/>
    </x:font>
    <x:font>
      <x:sz val="9"/>
      <x:color rgb="FF595959"/>
      <x:name val="Arial"/>
    </x:font>
    <x:font>
      <x:b/>
      <x:sz val="14"/>
      <x:color rgb="FF17365D"/>
      <x:name val="Arial"/>
    </x:font>
    <x:font>
      <x:b/>
      <x:sz val="10"/>
      <x:color rgb="FF222222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</x:fills>
  <x:borders count="8">
    <x:border/>
    <x:border>
      <x:bottom style="medium">
        <x:color rgb="FF2F75B5"/>
      </x:bottom>
    </x:border>
    <x:border>
      <x:left style="thin">
        <x:color rgb="FFB8C2CC"/>
      </x:left>
      <x:top style="thin">
        <x:color rgb="FFB8C2CC"/>
      </x:top>
      <x:bottom style="thin">
        <x:color rgb="FFB8C2CC"/>
      </x:bottom>
    </x:border>
    <x:border>
      <x:top style="thin">
        <x:color rgb="FFB8C2CC"/>
      </x:top>
      <x:bottom style="thin">
        <x:color rgb="FFB8C2CC"/>
      </x:bottom>
    </x:border>
    <x:border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thin">
        <x:color rgb="FFB8C2CC"/>
      </x:left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B8C2CC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2" borderId="5" xfId="0" applyNumberFormat="1" applyFont="1" applyFill="1" applyBorder="1" applyAlignment="1">
      <x:alignment wrapText="1"/>
    </x:xf>
    <x:xf numFmtId="0" fontId="4" fillId="2" borderId="5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6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0" fontId="6" fillId="0" borderId="7" xfId="0" applyNumberFormat="1" applyFont="1" applyFill="1" applyBorder="1" applyAlignment="1">
      <x:alignment vertical="top" wrapText="1"/>
    </x:xf>
    <x:xf numFmtId="200" fontId="6" fillId="0" borderId="3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4" fillId="0" borderId="7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200" fontId="10" fillId="0" borderId="0" xfId="0" applyNumberFormat="1" applyFont="1" applyFill="1" applyBorder="1" applyAlignment="1">
      <x:alignment horizontal="center"/>
    </x:xf>
    <x:xf numFmtId="0" fontId="11" fillId="0" borderId="1" xfId="0" applyNumberFormat="1" applyFont="1" applyFill="1" applyBorder="1"/>
    <x:xf numFmtId="0" fontId="6" fillId="0" borderId="1" xfId="0" applyNumberFormat="1" applyFont="1" applyFill="1" applyBorder="1"/>
  </x:cellXfs>
  <x:cellStyles count="1">
    <x:cellStyle name="Normal" xfId="0"/>
  </x:cellStyles>
  <x:dxfs count="15">
    <x:dxf>
      <x:font>
        <x:b/>
        <x:color rgb="FF385723"/>
      </x:font>
      <x:fill>
        <x:patternFill patternType="solid">
          <x:bgColor rgb="FFE2F0D9"/>
        </x:patternFill>
      </x:fill>
    </x:dxf>
    <x:dxf>
      <x:font>
        <x:b/>
        <x:color rgb="FF3857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595959"/>
      </x:font>
      <x:fill>
        <x:patternFill patternType="solid">
          <x:bgColor rgb="FFF3F4F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85723"/>
      </x:font>
      <x:fill>
        <x:patternFill patternType="solid">
          <x:bgColor rgb="FFE2F0D9"/>
        </x:patternFill>
      </x:fill>
    </x:dxf>
    <x:dxf>
      <x:font>
        <x:b/>
        <x:color rgb="FF3857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595959"/>
      </x:font>
      <x:fill>
        <x:patternFill patternType="solid">
          <x:bgColor rgb="FFF3F4F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85723"/>
      </x:font>
      <x:fill>
        <x:patternFill patternType="solid">
          <x:bgColor rgb="FFE2F0D9"/>
        </x:patternFill>
      </x:fill>
    </x:dxf>
    <x:dxf>
      <x:font>
        <x:b/>
        <x:color rgb="FF3857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595959"/>
      </x:font>
      <x:fill>
        <x:patternFill patternType="solid">
          <x:bgColor rgb="FFF3F4F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04e06f51bc40d1" /><Relationship Type="http://schemas.openxmlformats.org/officeDocument/2006/relationships/theme" Target="/xl/theme/theme1.xml" Id="R3fca1abe83514de6" /><Relationship Type="http://schemas.openxmlformats.org/officeDocument/2006/relationships/sharedStrings" Target="/xl/sharedStrings.xml" Id="Rdd77aae914074996" /><Relationship Type="http://schemas.openxmlformats.org/officeDocument/2006/relationships/worksheet" Target="/xl/worksheets/sheet1.xml" Id="Rebdcba8f80f948fc" /><Relationship Type="http://schemas.openxmlformats.org/officeDocument/2006/relationships/worksheet" Target="/xl/worksheets/sheet2.xml" Id="R68d5a35b92ce4b44" /><Relationship Type="http://schemas.openxmlformats.org/officeDocument/2006/relationships/worksheet" Target="/xl/worksheets/sheet3.xml" Id="R31cd41a56bf841fe" /><Relationship Type="http://schemas.openxmlformats.org/officeDocument/2006/relationships/worksheet" Target="/xl/worksheets/sheet4.xml" Id="R81ff6aea47154f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589f19ea841c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Bằng chứng Task 2 hiện tại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Số case</c:v>
          </c:tx>
          <c:spPr>
            <a:solidFill xmlns:a="http://schemas.openxmlformats.org/drawingml/2006/main">
              <a:srgbClr val="2F75B5"/>
            </a:solidFill>
          </c:spPr>
          <c:cat>
            <c:strRef>
              <c:f>'Tổng quan'!$H$5:$H$8</c:f>
              <c:strCache>
                <c:ptCount val="0"/>
              </c:strCache>
            </c:strRef>
          </c:cat>
          <c:val>
            <c:numRef>
              <c:f>'Tổng quan'!$I$5:$I$8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589f19ea841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aCManualComparison" displayName="IaCManualComparison" ref="A4:F12" headerRowCount="1" totalsRowCount="0" totalsRowShown="0">
  <x:tableColumns count="6">
    <x:tableColumn id="1" name="Tiêu chí"/>
    <x:tableColumn id="2" name="IaC – Ưu"/>
    <x:tableColumn id="3" name="IaC – Nhưng"/>
    <x:tableColumn id="4" name="Manual UI – Ưu"/>
    <x:tableColumn id="5" name="Manual UI – Nhưng"/>
    <x:tableColumn id="6" name="Khuyến nghị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lloutRoadmap" displayName="RolloutRoadmap" ref="A4:I9" headerRowCount="1" totalsRowCount="0" totalsRowShown="0">
  <x:tableColumns count="9">
    <x:tableColumn id="1" name="Bước"/>
    <x:tableColumn id="2" name="Mục tiêu"/>
    <x:tableColumn id="3" name="Phạm vi"/>
    <x:tableColumn id="4" name="Bằng chứng cần lưu"/>
    <x:tableColumn id="5" name="Điều kiện hoàn tất"/>
    <x:tableColumn id="6" name="Owner"/>
    <x:tableColumn id="7" name="Ước lượng"/>
    <x:tableColumn id="8" name="Thứ tự"/>
    <x:tableColumn id="9" name="Trạng thái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isionTests" displayName="DecisionTests" ref="A8:G20" headerRowCount="1" totalsRowCount="0" totalsRowShown="0">
  <x:tableColumns count="7">
    <x:tableColumn id="1" name="ID"/>
    <x:tableColumn id="2" name="Yêu cầu"/>
    <x:tableColumn id="3" name="Phạm vi"/>
    <x:tableColumn id="4" name="Bằng chứng hiện tại"/>
    <x:tableColumn id="5" name="Trạng thái"/>
    <x:tableColumn id="6" name="Owner"/>
    <x:tableColumn id="7" name="Bước kế tiế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Controls" displayName="RiskControls" ref="A24:G30" headerRowCount="1" totalsRowCount="0" totalsRowShown="0">
  <x:tableColumns count="7">
    <x:tableColumn id="1" name="Limitation"/>
    <x:tableColumn id="2" name="Liên quan"/>
    <x:tableColumn id="3" name="Quan sát"/>
    <x:tableColumn id="4" name="Cách ghi report"/>
    <x:tableColumn id="5" name="Ảnh hưởng"/>
    <x:tableColumn id="6" name="Owner"/>
    <x:tableColumn id="7" name="Trạng thá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74298fc3a64c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8d42a97c4441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e4796a130dd42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d207b1237041d2" /><Relationship Type="http://schemas.openxmlformats.org/officeDocument/2006/relationships/table" Target="/xl/tables/table4.xml" Id="R82315bf544664470" /></Relationships>
</file>

<file path=xl/worksheets/sheet1.xml><?xml version="1.0" encoding="utf-8"?>
<x:worksheet xmlns:x="http://schemas.openxmlformats.org/spreadsheetml/2006/main">
  <x:sheetPr>
    <x:tabColor rgb="FF2F75B5"/>
  </x:sheetPr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3" hidden="0" customWidth="1"/>
    <x:col min="8" max="8" width="21" hidden="0" customWidth="1"/>
    <x:col min="9" max="9" width="11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4" hidden="0" customHeight="1">
      <x:c r="A1" s="40" t="str">
        <x:v>Task 2 – GitHub Org Teams bằng Terraform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</x:row>
    <x:row r="2" ht="24" hidden="0" customHeight="1">
      <x:c r="A2" s="3" t="str">
        <x:v>Phạm vi: team và direct team membership | Không bao gồm Org Members | Cập nhật 2026-10-01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/>
    <x:row r="4" ht="15" hidden="0" customHeight="1">
      <x:c r="A4" s="6" t="str">
        <x:v>Quyết định hiện tại</x:v>
      </x:c>
      <x:c r="B4" s="7"/>
      <x:c r="C4" s="7"/>
      <x:c r="D4" s="7"/>
      <x:c r="E4" s="7"/>
      <x:c r="F4" s="8"/>
      <x:c r="H4" s="23" t="str">
        <x:v>Trạng thái kiểm thử</x:v>
      </x:c>
      <x:c r="I4" s="23" t="str">
        <x:v>Số case</x:v>
      </x:c>
    </x:row>
    <x:row r="5" ht="24" hidden="0" customHeight="1">
      <x:c r="A5" s="12" t="str">
        <x:v>Phạm vi gốc</x:v>
      </x:c>
      <x:c r="B5" s="15" t="str">
        <x:v>Create/update/delete team; add/remove member; đổi team role</x:v>
      </x:c>
      <x:c r="H5" s="27" t="str">
        <x:v>Đạt</x:v>
      </x:c>
      <x:c r="I5" s="31" t="n">
        <x:f>COUNTIF('Kiểm thử &amp; rủi ro'!$E$9:$E$20,"Đạt")</x:f>
        <x:v>4</x:v>
      </x:c>
    </x:row>
    <x:row r="6" ht="26.399999618530273" hidden="0" customHeight="1">
      <x:c r="A6" s="12" t="str">
        <x:v>Đã chứng minh live</x:v>
      </x:c>
      <x:c r="B6" s="16" t="str">
        <x:v>Create team + owner direct membership; plan sau apply không đổi</x:v>
      </x:c>
      <x:c r="H6" s="28" t="str">
        <x:v>Đạt một phần</x:v>
      </x:c>
      <x:c r="I6" s="32" t="n">
        <x:f>COUNTIF('Kiểm thử &amp; rủi ro'!$E$9:$E$20,"Đạt một phần")</x:f>
        <x:v>1</x:v>
      </x:c>
    </x:row>
    <x:row r="7" ht="26.399999618530273" hidden="0" customHeight="1">
      <x:c r="A7" s="12" t="str">
        <x:v>Chưa chứng minh live</x:v>
      </x:c>
      <x:c r="B7" s="13" t="str">
        <x:v>Update/delete team; add/remove/đổi role member thường</x:v>
      </x:c>
      <x:c r="H7" s="28" t="str">
        <x:v>Chưa chạy</x:v>
      </x:c>
      <x:c r="I7" s="32" t="n">
        <x:f>COUNTIF('Kiểm thử &amp; rủi ro'!$E$9:$E$20,"Chưa chạy")</x:f>
        <x:v>5</x:v>
      </x:c>
    </x:row>
    <x:row r="8" ht="26.399999618530273" hidden="0" customHeight="1">
      <x:c r="A8" s="12" t="str">
        <x:v>Ngoài phạm vi</x:v>
      </x:c>
      <x:c r="B8" s="13" t="str">
        <x:v>Invite, đổi org role, remove org member – Task 1 của Hoàng</x:v>
      </x:c>
      <x:c r="H8" s="28" t="str">
        <x:v>Chặn</x:v>
      </x:c>
      <x:c r="I8" s="32" t="n">
        <x:f>COUNTIF('Kiểm thử &amp; rủi ro'!$E$9:$E$20,"Chặn")</x:f>
        <x:v>2</x:v>
      </x:c>
    </x:row>
    <x:row r="9" ht="15" hidden="0" customHeight="1">
      <x:c r="A9" s="12" t="str">
        <x:v>Kết luận</x:v>
      </x:c>
      <x:c r="B9" s="17" t="str">
        <x:v>Khả thi bước đầu; chưa đủ dữ liệu cho toàn bộ lifecycle</x:v>
      </x:c>
    </x:row>
    <x:row r="10"/>
    <x:row r="11" ht="15" hidden="0" customHeight="1">
      <x:c r="A11" s="6" t="str">
        <x:v>Cổng quyết định</x:v>
      </x:c>
      <x:c r="B11" s="7"/>
      <x:c r="C11" s="7"/>
      <x:c r="D11" s="7"/>
      <x:c r="E11" s="7"/>
      <x:c r="F11" s="8"/>
    </x:row>
    <x:row r="12" ht="15" hidden="0" customHeight="1">
      <x:c r="A12" s="23" t="str">
        <x:v>Cổng</x:v>
      </x:c>
      <x:c r="B12" s="23" t="str">
        <x:v>Hiện tại</x:v>
      </x:c>
      <x:c r="C12" s="23" t="str">
        <x:v>Bằng chứng</x:v>
      </x:c>
      <x:c r="D12" s="23" t="str">
        <x:v>Điều kiện đạt</x:v>
      </x:c>
      <x:c r="E12" s="23" t="str">
        <x:v>Owner</x:v>
      </x:c>
      <x:c r="F12" s="23" t="str">
        <x:v>Quyết định</x:v>
      </x:c>
    </x:row>
    <x:row r="13" ht="15" hidden="0" customHeight="1">
      <x:c r="A13" s="27" t="str">
        <x:v>Create + convergence</x:v>
      </x:c>
      <x:c r="B13" s="27" t="str">
        <x:v>Đạt</x:v>
      </x:c>
      <x:c r="C13" s="27" t="str">
        <x:v>2 add; follow-up plan = 0</x:v>
      </x:c>
      <x:c r="D13" s="27" t="str">
        <x:v>Giữ bằng chứng</x:v>
      </x:c>
      <x:c r="E13" s="27" t="str">
        <x:v>Task 2</x:v>
      </x:c>
      <x:c r="F13" s="27" t="str">
        <x:v>Đã chứng minh</x:v>
      </x:c>
    </x:row>
    <x:row r="14" ht="24" hidden="0" customHeight="1">
      <x:c r="A14" s="28" t="str">
        <x:v>Update team</x:v>
      </x:c>
      <x:c r="B14" s="28" t="str">
        <x:v>Chưa chạy</x:v>
      </x:c>
      <x:c r="C14" s="28" t="str">
        <x:v>Mới có preview</x:v>
      </x:c>
      <x:c r="D14" s="28" t="str">
        <x:v>Apply + UI/state + no-change plan</x:v>
      </x:c>
      <x:c r="E14" s="28" t="str">
        <x:v>Task 2</x:v>
      </x:c>
      <x:c r="F14" s="28" t="str">
        <x:v>Cần chạy</x:v>
      </x:c>
    </x:row>
    <x:row r="15" ht="24" hidden="0" customHeight="1">
      <x:c r="A15" s="28" t="str">
        <x:v>Team membership</x:v>
      </x:c>
      <x:c r="B15" s="28" t="str">
        <x:v>Đạt một phần</x:v>
      </x:c>
      <x:c r="C15" s="28" t="str">
        <x:v>Owner maintainer đạt; user thường chưa thử</x:v>
      </x:c>
      <x:c r="D15" s="28" t="str">
        <x:v>Add/role/remove với active member</x:v>
      </x:c>
      <x:c r="E15" s="28" t="str">
        <x:v>Task 2</x:v>
      </x:c>
      <x:c r="F15" s="28" t="str">
        <x:v>Cần chạy</x:v>
      </x:c>
    </x:row>
    <x:row r="16" ht="15" hidden="0" customHeight="1">
      <x:c r="A16" s="28" t="str">
        <x:v>Delete team</x:v>
      </x:c>
      <x:c r="B16" s="28" t="str">
        <x:v>Chưa chạy</x:v>
      </x:c>
      <x:c r="C16" s="28" t="str">
        <x:v>Chưa có live plan/apply</x:v>
      </x:c>
      <x:c r="D16" s="28" t="str">
        <x:v>Xóa team disposable an toàn</x:v>
      </x:c>
      <x:c r="E16" s="28" t="str">
        <x:v>Task 2</x:v>
      </x:c>
      <x:c r="F16" s="28" t="str">
        <x:v>Cần chạy</x:v>
      </x:c>
    </x:row>
    <x:row r="17" ht="24" hidden="0" customHeight="1">
      <x:c r="A17" s="28" t="str">
        <x:v>Org member lifecycle</x:v>
      </x:c>
      <x:c r="B17" s="28" t="str">
        <x:v>Ngoài phạm vi</x:v>
      </x:c>
      <x:c r="C17" s="28" t="str">
        <x:v>Không có resource mutation trong code</x:v>
      </x:c>
      <x:c r="D17" s="28" t="str">
        <x:v>Task 1 cung cấp active member</x:v>
      </x:c>
      <x:c r="E17" s="28" t="str">
        <x:v>Hoàng</x:v>
      </x:c>
      <x:c r="F17" s="28" t="str">
        <x:v>Phụ thuộc</x:v>
      </x:c>
    </x:row>
    <x:row r="18"/>
    <x:row r="19"/>
    <x:row r="20" ht="15" hidden="0" customHeight="1">
      <x:c r="A20" s="6" t="str">
        <x:v>Khuyến nghị cho giai đoạn tiếp theo</x:v>
      </x:c>
      <x:c r="B20" s="7"/>
      <x:c r="C20" s="7"/>
      <x:c r="D20" s="7"/>
      <x:c r="E20" s="7"/>
      <x:c r="F20" s="8"/>
    </x:row>
    <x:row r="21" ht="36" hidden="0" customHeight="1">
      <x:c r="A21" s="30" t="str">
        <x:v>1</x:v>
      </x:c>
      <x:c r="B21" s="11" t="str">
        <x:v>Update team trên sandbox</x:v>
      </x:c>
      <x:c r="C21" s="11" t="str">
        <x:v>Name/description/setting; giữ resource identity</x:v>
      </x:c>
      <x:c r="D21" s="11" t="str">
        <x:v>Ghi plan, UI/state và no-change plan</x:v>
      </x:c>
      <x:c r="E21" t="str"/>
      <x:c r="F21" t="str"/>
    </x:row>
    <x:row r="22" ht="36" hidden="0" customHeight="1">
      <x:c r="A22" s="30" t="str">
        <x:v>2</x:v>
      </x:c>
      <x:c r="B22" s="11" t="str">
        <x:v>Nhận active member từ Task 1</x:v>
      </x:c>
      <x:c r="C22" s="11" t="str">
        <x:v>Task 2 không invite hoặc đổi org role</x:v>
      </x:c>
      <x:c r="D22" s="11" t="str">
        <x:v>Giữ ranh giới ownership</x:v>
      </x:c>
      <x:c r="E22" t="str"/>
      <x:c r="F22" t="str"/>
    </x:row>
    <x:row r="23" ht="36" hidden="0" customHeight="1">
      <x:c r="A23" s="30" t="str">
        <x:v>3</x:v>
      </x:c>
      <x:c r="B23" s="11" t="str">
        <x:v>Test team membership</x:v>
      </x:c>
      <x:c r="C23" s="11" t="str">
        <x:v>Add, member ↔ maintainer, remove</x:v>
      </x:c>
      <x:c r="D23" s="11" t="str">
        <x:v>Org membership phải còn nguyên</x:v>
      </x:c>
      <x:c r="E23" t="str"/>
      <x:c r="F23" t="str"/>
    </x:row>
    <x:row r="24" ht="36" hidden="0" customHeight="1">
      <x:c r="A24" s="30" t="str">
        <x:v>4</x:v>
      </x:c>
      <x:c r="B24" s="11" t="str">
        <x:v>Test delete team disposable</x:v>
      </x:c>
      <x:c r="C24" s="11" t="str">
        <x:v>Xem destructive plan trước apply</x:v>
      </x:c>
      <x:c r="D24" s="11" t="str">
        <x:v>Xác nhận state và GitHub</x:v>
      </x:c>
      <x:c r="E24" t="str"/>
      <x:c r="F24" t="str"/>
    </x:row>
    <x:row r="25" ht="36" hidden="0" customHeight="1">
      <x:c r="A25" s="30" t="str">
        <x:v>5</x:v>
      </x:c>
      <x:c r="B25" s="11" t="str">
        <x:v>Chốt limitation</x:v>
      </x:c>
      <x:c r="C25" s="11" t="str">
        <x:v>Ghi behavior thực tế; tách phần mở rộng</x:v>
      </x:c>
      <x:c r="D25" s="11" t="str">
        <x:v>Đủ bằng chứng cho Task 2</x:v>
      </x:c>
      <x:c r="E25" t="str"/>
      <x:c r="F25" t="str"/>
    </x:row>
    <x:row r="26"/>
    <x:row r="27"/>
    <x:row r="28" ht="15" hidden="0" customHeight="1">
      <x:c r="A28" s="33" t="str">
        <x:v>Nguồn</x:v>
      </x:c>
      <x:c r="B28" s="33" t="str">
        <x:v>URL</x:v>
      </x:c>
      <x:c r="C28" t="str"/>
      <x:c r="D28" t="str"/>
      <x:c r="E28" t="str"/>
      <x:c r="F28" t="str"/>
      <x:c r="G28" t="str"/>
      <x:c r="H28" t="str"/>
      <x:c r="I28" t="str"/>
      <x:c r="J28" t="str"/>
      <x:c r="K28" t="str"/>
      <x:c r="L28" t="str"/>
      <x:c r="M28" t="str"/>
      <x:c r="N28" t="str"/>
    </x:row>
    <x:row r="29" ht="15" hidden="0" customHeight="1">
      <x:c r="A29" s="34" t="str">
        <x:v>Terraform GitHub Provider 6.13.0</x:v>
      </x:c>
      <x:c r="B29" s="34" t="str">
        <x:v>https://registry.terraform.io/providers/integrations/github/latest/docs</x:v>
      </x:c>
      <x:c r="C29" t="str"/>
      <x:c r="D29" t="str"/>
      <x:c r="E29" t="str"/>
      <x:c r="F29" t="str"/>
      <x:c r="G29" t="str"/>
      <x:c r="H29" t="str"/>
      <x:c r="I29" t="str"/>
      <x:c r="J29" t="str"/>
      <x:c r="K29" t="str"/>
      <x:c r="L29" t="str"/>
      <x:c r="M29" t="str"/>
      <x:c r="N29" t="str"/>
    </x:row>
    <x:row r="30" ht="15" hidden="0" customHeight="1">
      <x:c r="A30" s="34" t="str">
        <x:v>GitHub team API</x:v>
      </x:c>
      <x:c r="B30" s="34" t="str">
        <x:v>https://docs.github.com/en/rest/teams/teams</x:v>
      </x:c>
      <x:c r="C30" t="str"/>
      <x:c r="D30" t="str"/>
      <x:c r="E30" t="str"/>
      <x:c r="F30" t="str"/>
      <x:c r="G30" t="str"/>
      <x:c r="H30" t="str"/>
      <x:c r="I30" t="str"/>
      <x:c r="J30" t="str"/>
      <x:c r="K30" t="str"/>
      <x:c r="L30" t="str"/>
      <x:c r="M30" t="str"/>
      <x:c r="N30" t="str"/>
    </x:row>
    <x:row r="31" ht="15" hidden="0" customHeight="1">
      <x:c r="A31" s="34" t="str">
        <x:v>PoC repository</x:v>
      </x:c>
      <x:c r="B31" s="34" t="str">
        <x:v>https://github.com/phuc-do-v2/github-org-iac-po</x:v>
      </x:c>
      <x:c r="C31" t="str"/>
      <x:c r="D31" t="str"/>
      <x:c r="E31" t="str"/>
      <x:c r="F31" t="str"/>
      <x:c r="G31" t="str"/>
      <x:c r="H31" t="str"/>
      <x:c r="I31" t="str"/>
      <x:c r="J31" t="str"/>
      <x:c r="K31" t="str"/>
      <x:c r="L31" t="str"/>
      <x:c r="M31" t="str"/>
      <x:c r="N31" t="str"/>
    </x:row>
  </x:sheetData>
  <x:conditionalFormatting sqref="B13:B17">
    <x:cfRule type="cellIs" dxfId="0" priority="1" operator="equal">
      <x:formula>"Đạt"</x:formula>
    </x:cfRule>
    <x:cfRule type="cellIs" dxfId="1" priority="2" operator="equal">
      <x:formula>"Hoàn tất"</x:formula>
    </x:cfRule>
    <x:cfRule type="cellIs" dxfId="2" priority="3" operator="equal">
      <x:formula>"Đạt một phần"</x:formula>
    </x:cfRule>
    <x:cfRule type="cellIs" dxfId="3" priority="4" operator="equal">
      <x:formula>"Chưa chạy"</x:formula>
    </x:cfRule>
    <x:cfRule type="cellIs" dxfId="4" priority="5" operator="equal">
      <x:formula>"Chặn"</x:formula>
    </x:cfRule>
  </x:conditionalFormatting>
  <x:pageMargins left="0.7" right="0.7" top="0.75" bottom="0.75" header="0.3" footer="0.3"/>
  <x:drawing xmlns:r="http://schemas.openxmlformats.org/officeDocument/2006/relationships" r:id="R9974298fc3a64c1d"/>
</x:worksheet>
</file>

<file path=xl/worksheets/sheet2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31" hidden="0" customWidth="1"/>
    <x:col min="3" max="3" width="31" hidden="0" customWidth="1"/>
    <x:col min="4" max="4" width="31" hidden="0" customWidth="1"/>
    <x:col min="5" max="5" width="31" hidden="0" customWidth="1"/>
    <x:col min="6" max="6" width="20" hidden="0" customWidth="1"/>
  </x:cols>
  <x:sheetData>
    <x:row r="1" ht="24" hidden="0" customHeight="1">
      <x:c r="A1" s="40" t="str">
        <x:v>Task 2: IaC nhưng vẫn cần Manual UI</x:v>
      </x:c>
      <x:c r="B1" s="41"/>
      <x:c r="C1" s="41"/>
      <x:c r="D1" s="41"/>
      <x:c r="E1" s="41"/>
      <x:c r="F1" s="41"/>
    </x:row>
    <x:row r="2" ht="24" hidden="0" customHeight="1">
      <x:c r="A2" s="3" t="str">
        <x:v>So sánh trong phạm vi team và direct team membership</x:v>
      </x:c>
      <x:c r="B2" s="3"/>
      <x:c r="C2" s="3"/>
      <x:c r="D2" s="3"/>
      <x:c r="E2" s="3"/>
      <x:c r="F2" s="3"/>
    </x:row>
    <x:row r="3"/>
    <x:row r="4" ht="15" hidden="0" customHeight="1">
      <x:c r="A4" s="23" t="str">
        <x:v>Tiêu chí</x:v>
      </x:c>
      <x:c r="B4" s="23" t="str">
        <x:v>IaC – Ưu</x:v>
      </x:c>
      <x:c r="C4" s="23" t="str">
        <x:v>IaC – Nhưng</x:v>
      </x:c>
      <x:c r="D4" s="23" t="str">
        <x:v>Manual UI – Ưu</x:v>
      </x:c>
      <x:c r="E4" s="23" t="str">
        <x:v>Manual UI – Nhưng</x:v>
      </x:c>
      <x:c r="F4" s="23" t="str">
        <x:v>Khuyến nghị</x:v>
      </x:c>
    </x:row>
    <x:row r="5" ht="62" hidden="0" customHeight="1">
      <x:c r="A5" s="27" t="str">
        <x:v>Thay đổi lặp lại</x:v>
      </x:c>
      <x:c r="B5" s="27" t="str">
        <x:v>Nhất quán, review được, tái tạo được</x:v>
      </x:c>
      <x:c r="C5" s="27" t="str">
        <x:v>Cần state và pipeline ổn định</x:v>
      </x:c>
      <x:c r="D5" s="27" t="str">
        <x:v>Nhanh với một thay đổi nhỏ</x:v>
      </x:c>
      <x:c r="E5" s="27" t="str">
        <x:v>Dễ lệch chuẩn khi số lượng tăng</x:v>
      </x:c>
      <x:c r="F5" s="35" t="str">
        <x:v>Đánh giá sau PoC</x:v>
      </x:c>
    </x:row>
    <x:row r="6" ht="62" hidden="0" customHeight="1">
      <x:c r="A6" s="28" t="str">
        <x:v>Audit và phê duyệt</x:v>
      </x:c>
      <x:c r="B6" s="28" t="str">
        <x:v>Có commit, PR và plan</x:v>
      </x:c>
      <x:c r="C6" s="28" t="str">
        <x:v>Plan không hiển thị side effect ngoài state</x:v>
      </x:c>
      <x:c r="D6" s="28" t="str">
        <x:v>GitHub audit log hỗ trợ tra cứu</x:v>
      </x:c>
      <x:c r="E6" s="28" t="str">
        <x:v>Khó thấy ý định trước thay đổi</x:v>
      </x:c>
      <x:c r="F6" s="36" t="str">
        <x:v>IaC phù hợp nếu lifecycle đạt</x:v>
      </x:c>
    </x:row>
    <x:row r="7" ht="62" hidden="0" customHeight="1">
      <x:c r="A7" s="28" t="str">
        <x:v>Drift</x:v>
      </x:c>
      <x:c r="B7" s="28" t="str">
        <x:v>Plan phát hiện cấu hình bị sửa</x:v>
      </x:c>
      <x:c r="C7" s="28" t="str">
        <x:v>Không quản lý đối tượng ngoài config</x:v>
      </x:c>
      <x:c r="D7" s="28" t="str">
        <x:v>Admin nhìn thấy trạng thái hiện tại</x:v>
      </x:c>
      <x:c r="E7" s="28" t="str">
        <x:v>Không tự chỉ ra chênh lệch với chuẩn</x:v>
      </x:c>
      <x:c r="F7" s="36" t="str">
        <x:v>Kiểm thử mở rộng</x:v>
      </x:c>
    </x:row>
    <x:row r="8" ht="62" hidden="0" customHeight="1">
      <x:c r="A8" s="28" t="str">
        <x:v>Bootstrap</x:v>
      </x:c>
      <x:c r="B8" s="28" t="str">
        <x:v>Có thể code hóa sau khi nền tảng sẵn sàng</x:v>
      </x:c>
      <x:c r="C8" s="28" t="str">
        <x:v>Token, state và backend phải có trước</x:v>
      </x:c>
      <x:c r="D8" s="28" t="str">
        <x:v>Tạo org, token, invitation ban đầu nhanh</x:v>
      </x:c>
      <x:c r="E8" s="28" t="str">
        <x:v>Khó lặp lại và dễ thiếu bằng chứng</x:v>
      </x:c>
      <x:c r="F8" s="36" t="str">
        <x:v>Ngoài Task 2</x:v>
      </x:c>
    </x:row>
    <x:row r="9" ht="62" hidden="0" customHeight="1">
      <x:c r="A9" s="28" t="str">
        <x:v>Sự cố khẩn cấp</x:v>
      </x:c>
      <x:c r="B9" s="28" t="str">
        <x:v>Có lịch sử nếu vẫn qua Git</x:v>
      </x:c>
      <x:c r="C9" s="28" t="str">
        <x:v>Có thể chậm khi cần xử lý tức thời</x:v>
      </x:c>
      <x:c r="D9" s="28" t="str">
        <x:v>Phản ứng nhanh</x:v>
      </x:c>
      <x:c r="E9" s="28" t="str">
        <x:v>Dễ quên reconcile về code</x:v>
      </x:c>
      <x:c r="F9" s="36" t="str">
        <x:v>Kết hợp</x:v>
      </x:c>
    </x:row>
    <x:row r="10" ht="62" hidden="0" customHeight="1">
      <x:c r="A10" s="28" t="str">
        <x:v>Nested team</x:v>
      </x:c>
      <x:c r="B10" s="28" t="str">
        <x:v>Dependency rõ trong code</x:v>
      </x:c>
      <x:c r="C10" s="28" t="str">
        <x:v>Xóa parent có thể cascade ngoài plan</x:v>
      </x:c>
      <x:c r="D10" s="28" t="str">
        <x:v>Dễ quan sát hierarchy</x:v>
      </x:c>
      <x:c r="E10" s="28" t="str">
        <x:v>Click nhầm có thể ảnh hưởng rộng</x:v>
      </x:c>
      <x:c r="F10" s="36" t="str">
        <x:v>Kiểm thử mở rộng</x:v>
      </x:c>
    </x:row>
    <x:row r="11" ht="62" hidden="0" customHeight="1">
      <x:c r="A11" s="28" t="str">
        <x:v>Membership</x:v>
      </x:c>
      <x:c r="B11" s="28" t="str">
        <x:v>Role và direct relationship rõ</x:v>
      </x:c>
      <x:c r="C11" s="28" t="str">
        <x:v>Inherited/IdP membership cần quy ước riêng</x:v>
      </x:c>
      <x:c r="D11" s="28" t="str">
        <x:v>Thuận tiện xử lý ngoại lệ</x:v>
      </x:c>
      <x:c r="E11" s="28" t="str">
        <x:v>Khó kiểm soát ở quy mô lớn</x:v>
      </x:c>
      <x:c r="F11" s="36" t="str">
        <x:v>Đánh giá sau live test</x:v>
      </x:c>
    </x:row>
    <x:row r="12" ht="62" hidden="0" customHeight="1">
      <x:c r="A12" s="28" t="str">
        <x:v>Import tài nguyên cũ</x:v>
      </x:c>
      <x:c r="B12" s="28" t="str">
        <x:v>Đưa tài nguyên hiện hữu vào governance</x:v>
      </x:c>
      <x:c r="C12" s="28" t="str">
        <x:v>Cấu hình lệch có thể tạo update/replace</x:v>
      </x:c>
      <x:c r="D12" s="28" t="str">
        <x:v>Không cần migration ban đầu</x:v>
      </x:c>
      <x:c r="E12" s="28" t="str">
        <x:v>Tiếp tục duy trì thủ công</x:v>
      </x:c>
      <x:c r="F12" s="36" t="str">
        <x:v>Ngoài yêu cầu gốc</x:v>
      </x:c>
    </x:row>
    <x:row r="13"/>
    <x:row r="14"/>
    <x:row r="15" ht="15" hidden="0" customHeight="1">
      <x:c r="A15" s="6" t="str">
        <x:v>Ranh giới áp dụng trong PoC</x:v>
      </x:c>
      <x:c r="B15" s="7"/>
      <x:c r="C15" s="7"/>
      <x:c r="D15" s="7"/>
      <x:c r="E15" s="7"/>
      <x:c r="F15" s="8"/>
    </x:row>
    <x:row r="16" ht="26.399999618530273" hidden="0" customHeight="1">
      <x:c r="A16" s="10" t="str">
        <x:v>Trong PoC</x:v>
      </x:c>
      <x:c r="B16" s="11" t="str">
        <x:v>Terraform quản lý team và direct team membership đã khai báo.</x:v>
      </x:c>
      <x:c r="C16" t="str"/>
      <x:c r="D16" t="str"/>
      <x:c r="E16" t="str"/>
      <x:c r="F16" t="str"/>
    </x:row>
    <x:row r="17" ht="26.399999618530273" hidden="0" customHeight="1">
      <x:c r="A17" s="10" t="str">
        <x:v>Phụ thuộc Task 1</x:v>
      </x:c>
      <x:c r="B17" s="11" t="str">
        <x:v>Org member phải tồn tại và active trước khi Task 2 thêm vào team.</x:v>
      </x:c>
      <x:c r="C17" t="str"/>
      <x:c r="D17" t="str"/>
      <x:c r="E17" t="str"/>
      <x:c r="F17" t="str"/>
    </x:row>
    <x:row r="18" ht="39.599998474121094" hidden="0" customHeight="1">
      <x:c r="A18" s="10" t="str">
        <x:v>Manual UI</x:v>
      </x:c>
      <x:c r="B18" s="11" t="str">
        <x:v>Dùng để đối chiếu kết quả và xử lý bước thuộc Task 1; không tính là bằng chứng IaC Task 2.</x:v>
      </x:c>
      <x:c r="C18" t="str"/>
      <x:c r="D18" t="str"/>
      <x:c r="E18" t="str"/>
      <x:c r="F18" t="str"/>
    </x:row>
    <x:row r="19" ht="39.599998474121094" hidden="0" customHeight="1">
      <x:c r="A19" s="10" t="str">
        <x:v>Ngoài phạm vi</x:v>
      </x:c>
      <x:c r="B19" s="11" t="str">
        <x:v>Org membership lifecycle, repository permission, IdP/SCIM và production rollout.</x:v>
      </x:c>
      <x:c r="C19" t="str"/>
      <x:c r="D19" t="str"/>
      <x:c r="E19" t="str"/>
      <x:c r="F19" t="str"/>
    </x:row>
  </x:sheetData>
  <x:pageMargins left="0.7" right="0.7" top="0.75" bottom="0.75" header="0.3" footer="0.3"/>
  <x:tableParts count="1">
    <x:tablePart xmlns:r="http://schemas.openxmlformats.org/officeDocument/2006/relationships" r:id="Ref8d42a97c444141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0" hidden="0" customWidth="1"/>
    <x:col min="4" max="4" width="30" hidden="0" customWidth="1"/>
    <x:col min="5" max="5" width="30" hidden="0" customWidth="1"/>
    <x:col min="6" max="6" width="18" hidden="0" customWidth="1"/>
    <x:col min="7" max="7" width="10" hidden="0" customWidth="1"/>
    <x:col min="8" max="8" width="10" hidden="0" customWidth="1"/>
    <x:col min="9" max="9" width="18" hidden="0" customWidth="1"/>
  </x:cols>
  <x:sheetData>
    <x:row r="1" ht="24" hidden="0" customHeight="1">
      <x:c r="A1" s="40" t="str">
        <x:v>Các bước hoàn tất Task 2</x:v>
      </x:c>
      <x:c r="B1" s="41"/>
      <x:c r="C1" s="41"/>
      <x:c r="D1" s="41"/>
      <x:c r="E1" s="41"/>
      <x:c r="F1" s="41"/>
      <x:c r="G1" s="41"/>
      <x:c r="H1" s="41"/>
      <x:c r="I1" s="41"/>
    </x:row>
    <x:row r="2" ht="24" hidden="0" customHeight="1">
      <x:c r="A2" s="3" t="str">
        <x:v>Chỉ tính hoàn tất khi có plan/apply, state và kiểm tra thực tế trên GitHub</x:v>
      </x:c>
      <x:c r="B2" s="3"/>
      <x:c r="C2" s="3"/>
      <x:c r="D2" s="3"/>
      <x:c r="E2" s="3"/>
      <x:c r="F2" s="3"/>
      <x:c r="G2" s="3"/>
      <x:c r="H2" s="3"/>
      <x:c r="I2" s="3"/>
    </x:row>
    <x:row r="3"/>
    <x:row r="4" ht="15" hidden="0" customHeight="1">
      <x:c r="A4" s="23" t="str">
        <x:v>Bước</x:v>
      </x:c>
      <x:c r="B4" s="23" t="str">
        <x:v>Mục tiêu</x:v>
      </x:c>
      <x:c r="C4" s="23" t="str">
        <x:v>Phạm vi</x:v>
      </x:c>
      <x:c r="D4" s="23" t="str">
        <x:v>Bằng chứng cần lưu</x:v>
      </x:c>
      <x:c r="E4" s="23" t="str">
        <x:v>Điều kiện hoàn tất</x:v>
      </x:c>
      <x:c r="F4" s="23" t="str">
        <x:v>Owner</x:v>
      </x:c>
      <x:c r="G4" s="23" t="str">
        <x:v>Ước lượng</x:v>
      </x:c>
      <x:c r="H4" s="23" t="str">
        <x:v>Thứ tự</x:v>
      </x:c>
      <x:c r="I4" s="23" t="str">
        <x:v>Trạng thái</x:v>
      </x:c>
    </x:row>
    <x:row r="5" ht="56" hidden="0" customHeight="1">
      <x:c r="A5" s="27" t="str">
        <x:v>0. Baseline</x:v>
      </x:c>
      <x:c r="B5" s="27" t="str">
        <x:v>Create + convergence</x:v>
      </x:c>
      <x:c r="C5" s="27" t="str">
        <x:v>1 team + owner membership</x:v>
      </x:c>
      <x:c r="D5" s="27" t="str">
        <x:v>Plan/apply/API/no-change plan</x:v>
      </x:c>
      <x:c r="E5" s="27" t="str">
        <x:v>Đã khớp state và GitHub</x:v>
      </x:c>
      <x:c r="F5" s="27" t="str">
        <x:v>Task 2</x:v>
      </x:c>
      <x:c r="G5" s="31" t="n">
        <x:v>1</x:v>
      </x:c>
      <x:c r="H5" s="31" t="n">
        <x:v>1</x:v>
      </x:c>
      <x:c r="I5" s="27" t="str">
        <x:v>Hoàn tất</x:v>
      </x:c>
    </x:row>
    <x:row r="6" ht="56" hidden="0" customHeight="1">
      <x:c r="A6" s="28" t="str">
        <x:v>1. Update team</x:v>
      </x:c>
      <x:c r="B6" s="28" t="str">
        <x:v>Kiểm tra update</x:v>
      </x:c>
      <x:c r="C6" s="28" t="str">
        <x:v>Name/description/setting</x:v>
      </x:c>
      <x:c r="D6" s="28" t="str">
        <x:v>Plan/apply/UI/state/no-change</x:v>
      </x:c>
      <x:c r="E6" s="28" t="str">
        <x:v>Không destroy ngoài dự kiến</x:v>
      </x:c>
      <x:c r="F6" s="28" t="str">
        <x:v>Task 2</x:v>
      </x:c>
      <x:c r="G6" s="32" t="n">
        <x:v>1</x:v>
      </x:c>
      <x:c r="H6" s="32" t="n">
        <x:f>H5+G5</x:f>
        <x:v>2</x:v>
      </x:c>
      <x:c r="I6" s="28" t="str">
        <x:v>Chưa bắt đầu</x:v>
      </x:c>
    </x:row>
    <x:row r="7" ht="56" hidden="0" customHeight="1">
      <x:c r="A7" s="28" t="str">
        <x:v>2. Team membership</x:v>
      </x:c>
      <x:c r="B7" s="28" t="str">
        <x:v>Kiểm tra add/role/remove</x:v>
      </x:c>
      <x:c r="C7" s="28" t="str">
        <x:v>Active ordinary member</x:v>
      </x:c>
      <x:c r="D7" s="28" t="str">
        <x:v>Plan/apply/API/state từng bước</x:v>
      </x:c>
      <x:c r="E7" s="28" t="str">
        <x:v>Org member không bị thay đổi</x:v>
      </x:c>
      <x:c r="F7" s="28" t="str">
        <x:v>Task 2 + Task 1</x:v>
      </x:c>
      <x:c r="G7" s="32" t="n">
        <x:v>2</x:v>
      </x:c>
      <x:c r="H7" s="32" t="n">
        <x:f>H6+G6</x:f>
        <x:v>3</x:v>
      </x:c>
      <x:c r="I7" s="28" t="str">
        <x:v>Chặn</x:v>
      </x:c>
    </x:row>
    <x:row r="8" ht="56" hidden="0" customHeight="1">
      <x:c r="A8" s="28" t="str">
        <x:v>3. Delete team</x:v>
      </x:c>
      <x:c r="B8" s="28" t="str">
        <x:v>Kiểm tra delete</x:v>
      </x:c>
      <x:c r="C8" s="28" t="str">
        <x:v>Team disposable</x:v>
      </x:c>
      <x:c r="D8" s="28" t="str">
        <x:v>Destructive plan đã review</x:v>
      </x:c>
      <x:c r="E8" s="28" t="str">
        <x:v>Remote và state sạch</x:v>
      </x:c>
      <x:c r="F8" s="28" t="str">
        <x:v>Task 2</x:v>
      </x:c>
      <x:c r="G8" s="32" t="n">
        <x:v>1</x:v>
      </x:c>
      <x:c r="H8" s="32" t="n">
        <x:f>H7+G7</x:f>
        <x:v>5</x:v>
      </x:c>
      <x:c r="I8" s="28" t="str">
        <x:v>Chưa bắt đầu</x:v>
      </x:c>
    </x:row>
    <x:row r="9" ht="56" hidden="0" customHeight="1">
      <x:c r="A9" s="28" t="str">
        <x:v>4. Kết luận</x:v>
      </x:c>
      <x:c r="B9" s="28" t="str">
        <x:v>Chốt limitation</x:v>
      </x:c>
      <x:c r="C9" s="28" t="str">
        <x:v>Đúng yêu cầu gốc</x:v>
      </x:c>
      <x:c r="D9" s="28" t="str">
        <x:v>Bảng kết quả + behavior</x:v>
      </x:c>
      <x:c r="E9" s="28" t="str">
        <x:v>Không dùng case dự kiến làm evidence</x:v>
      </x:c>
      <x:c r="F9" s="28" t="str">
        <x:v>Task 2</x:v>
      </x:c>
      <x:c r="G9" s="32" t="n">
        <x:v>1</x:v>
      </x:c>
      <x:c r="H9" s="32" t="n">
        <x:f>H8+G8</x:f>
        <x:v>6</x:v>
      </x:c>
      <x:c r="I9" s="28" t="str">
        <x:v>Chưa bắt đầu</x:v>
      </x:c>
    </x:row>
    <x:row r="10"/>
    <x:row r="11"/>
    <x:row r="12" ht="15" hidden="0" customHeight="1">
      <x:c r="A12" s="6" t="str">
        <x:v>Điều kiện không được bỏ qua</x:v>
      </x:c>
      <x:c r="B12" s="7"/>
      <x:c r="C12" s="7"/>
      <x:c r="D12" s="7"/>
      <x:c r="E12" s="7"/>
      <x:c r="F12" s="7"/>
      <x:c r="G12" s="7"/>
      <x:c r="H12" s="7"/>
      <x:c r="I12" s="8"/>
    </x:row>
    <x:row r="13" ht="15" hidden="0" customHeight="1">
      <x:c r="A13" s="23" t="str">
        <x:v>Điều kiện</x:v>
      </x:c>
      <x:c r="B13" s="23" t="str">
        <x:v>Tại sao</x:v>
      </x:c>
      <x:c r="C13" s="23" t="str">
        <x:v>Quyết định</x:v>
      </x:c>
    </x:row>
    <x:row r="14" ht="24" hidden="0" customHeight="1">
      <x:c r="A14" s="27" t="str">
        <x:v>Active ordinary member</x:v>
      </x:c>
      <x:c r="B14" s="27" t="str">
        <x:v>Cần test add/role/remove team membership</x:v>
      </x:c>
      <x:c r="C14" s="27" t="str">
        <x:v>Nhận từ Task 1</x:v>
      </x:c>
    </x:row>
    <x:row r="15" ht="24" hidden="0" customHeight="1">
      <x:c r="A15" s="28" t="str">
        <x:v>Plan trước destructive apply</x:v>
      </x:c>
      <x:c r="B15" s="28" t="str">
        <x:v>Delete/remove là yêu cầu gốc nhưng có tác động thật</x:v>
      </x:c>
      <x:c r="C15" s="28" t="str">
        <x:v>Bắt buộc</x:v>
      </x:c>
    </x:row>
    <x:row r="16" ht="24" hidden="0" customHeight="1">
      <x:c r="A16" s="28" t="str">
        <x:v>UI/API + state + no-change plan</x:v>
      </x:c>
      <x:c r="B16" s="28" t="str">
        <x:v>Một apply thành công chưa đủ chứng minh hội tụ</x:v>
      </x:c>
      <x:c r="C16" s="28" t="str">
        <x:v>Bắt buộc mỗi flow</x:v>
      </x:c>
    </x:row>
    <x:row r="17" ht="24" hidden="0" customHeight="1">
      <x:c r="A17" s="28" t="str">
        <x:v>Tách planned và verified</x:v>
      </x:c>
      <x:c r="B17" s="28" t="str">
        <x:v>Tránh trình bày kỳ vọng như kết quả thực tế</x:v>
      </x:c>
      <x:c r="C17" s="28" t="str">
        <x:v>Bắt buộc trong report</x:v>
      </x:c>
    </x:row>
  </x:sheetData>
  <x:conditionalFormatting sqref="I5:I9">
    <x:cfRule type="cellIs" dxfId="5" priority="1" operator="equal">
      <x:formula>"Đạt"</x:formula>
    </x:cfRule>
    <x:cfRule type="cellIs" dxfId="6" priority="2" operator="equal">
      <x:formula>"Hoàn tất"</x:formula>
    </x:cfRule>
    <x:cfRule type="cellIs" dxfId="7" priority="3" operator="equal">
      <x:formula>"Đạt một phần"</x:formula>
    </x:cfRule>
    <x:cfRule type="cellIs" dxfId="8" priority="4" operator="equal">
      <x:formula>"Chưa chạy"</x:formula>
    </x:cfRule>
    <x:cfRule type="cellIs" dxfId="9" priority="5" operator="equal">
      <x:formula>"Chặn"</x:formula>
    </x:cfRule>
  </x:conditionalFormatting>
  <x:dataValidations count="1">
    <x:dataValidation type="list" sqref="I5:I9">
      <x:formula1>"Hoàn tất,Đang làm,Chưa bắt đầu,Chặn"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4796a130dd4252"/>
  </x:tableParts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6" hidden="0" customWidth="1"/>
    <x:col min="3" max="3" width="31" hidden="0" customWidth="1"/>
    <x:col min="4" max="4" width="31" hidden="0" customWidth="1"/>
    <x:col min="5" max="5" width="17" hidden="0" customWidth="1"/>
    <x:col min="6" max="6" width="18" hidden="0" customWidth="1"/>
    <x:col min="7" max="7" width="31" hidden="0" customWidth="1"/>
  </x:cols>
  <x:sheetData>
    <x:row r="1" ht="24" hidden="0" customHeight="1">
      <x:c r="A1" s="40" t="str">
        <x:v>Bằng chứng và phần việc còn lại</x:v>
      </x:c>
      <x:c r="B1" s="41"/>
      <x:c r="C1" s="41"/>
      <x:c r="D1" s="41"/>
      <x:c r="E1" s="41"/>
      <x:c r="F1" s="41"/>
      <x:c r="G1" s="41"/>
    </x:row>
    <x:row r="2" ht="24" hidden="0" customHeight="1">
      <x:c r="A2" s="3" t="str">
        <x:v>Live = đã plan/apply và đối chiếu GitHub/state; mock hoặc preview không thay thế live evidence</x:v>
      </x:c>
      <x:c r="B2" s="3"/>
      <x:c r="C2" s="3"/>
      <x:c r="D2" s="3"/>
      <x:c r="E2" s="3"/>
      <x:c r="F2" s="3"/>
      <x:c r="G2" s="3"/>
    </x:row>
    <x:row r="3"/>
    <x:row r="4" ht="15" hidden="0" customHeight="1">
      <x:c r="A4" s="23" t="str">
        <x:v>Đã đạt</x:v>
      </x:c>
      <x:c r="B4" s="23" t="str">
        <x:v>Đạt một phần</x:v>
      </x:c>
      <x:c r="C4" s="23" t="str">
        <x:v>Chưa chạy</x:v>
      </x:c>
      <x:c r="D4" s="23" t="str">
        <x:v>Chặn</x:v>
      </x:c>
    </x:row>
    <x:row r="5" ht="16.799999237060547" hidden="0" customHeight="1">
      <x:c r="A5" s="39" t="n">
        <x:f>COUNTIF($E$9:$E$20,"Đạt")</x:f>
        <x:v>4</x:v>
      </x:c>
      <x:c r="B5" s="39" t="n">
        <x:f>COUNTIF($E$9:$E$20,"Đạt một phần")</x:f>
        <x:v>1</x:v>
      </x:c>
      <x:c r="C5" s="39" t="n">
        <x:f>COUNTIF($E$9:$E$20,"Chưa chạy")</x:f>
        <x:v>5</x:v>
      </x:c>
      <x:c r="D5" s="39" t="n">
        <x:f>COUNTIF($E$9:$E$20,"Chặn")</x:f>
        <x:v>2</x:v>
      </x:c>
    </x:row>
    <x:row r="6"/>
    <x:row r="7"/>
    <x:row r="8" ht="15" hidden="0" customHeight="1">
      <x:c r="A8" s="23" t="str">
        <x:v>ID</x:v>
      </x:c>
      <x:c r="B8" s="23" t="str">
        <x:v>Yêu cầu</x:v>
      </x:c>
      <x:c r="C8" s="23" t="str">
        <x:v>Phạm vi</x:v>
      </x:c>
      <x:c r="D8" s="23" t="str">
        <x:v>Bằng chứng hiện tại</x:v>
      </x:c>
      <x:c r="E8" s="23" t="str">
        <x:v>Trạng thái</x:v>
      </x:c>
      <x:c r="F8" s="23" t="str">
        <x:v>Owner</x:v>
      </x:c>
      <x:c r="G8" s="23" t="str">
        <x:v>Bước kế tiếp</x:v>
      </x:c>
    </x:row>
    <x:row r="9" ht="50" hidden="0" customHeight="1">
      <x:c r="A9" s="27" t="str">
        <x:v>TEAM-CREATE</x:v>
      </x:c>
      <x:c r="B9" s="27" t="str">
        <x:v>Create team</x:v>
      </x:c>
      <x:c r="C9" s="27" t="str">
        <x:v>Yêu cầu gốc</x:v>
      </x:c>
      <x:c r="D9" s="27" t="str">
        <x:v>Live: 2 add; team ID 19806617</x:v>
      </x:c>
      <x:c r="E9" s="27" t="str">
        <x:v>Đạt</x:v>
      </x:c>
      <x:c r="F9" s="27" t="str">
        <x:v>Task 2</x:v>
      </x:c>
      <x:c r="G9" s="27" t="str">
        <x:v>Giữ evidence</x:v>
      </x:c>
    </x:row>
    <x:row r="10" ht="50" hidden="0" customHeight="1">
      <x:c r="A10" s="28" t="str">
        <x:v>CONVERGE</x:v>
      </x:c>
      <x:c r="B10" s="28" t="str">
        <x:v>Plan sau apply</x:v>
      </x:c>
      <x:c r="C10" s="28" t="str">
        <x:v>Xác minh state</x:v>
      </x:c>
      <x:c r="D10" s="28" t="str">
        <x:v>Live: exit 0, no changes</x:v>
      </x:c>
      <x:c r="E10" s="28" t="str">
        <x:v>Đạt</x:v>
      </x:c>
      <x:c r="F10" s="28" t="str">
        <x:v>Task 2</x:v>
      </x:c>
      <x:c r="G10" s="28" t="str">
        <x:v>Lặp lại sau mỗi flow</x:v>
      </x:c>
    </x:row>
    <x:row r="11" ht="50" hidden="0" customHeight="1">
      <x:c r="A11" s="28" t="str">
        <x:v>TEAM-UPDATE</x:v>
      </x:c>
      <x:c r="B11" s="28" t="str">
        <x:v>Update team</x:v>
      </x:c>
      <x:c r="C11" s="28" t="str">
        <x:v>Yêu cầu gốc</x:v>
      </x:c>
      <x:c r="D11" s="28" t="str">
        <x:v>Chỉ có preview; chưa apply</x:v>
      </x:c>
      <x:c r="E11" s="28" t="str">
        <x:v>Chưa chạy</x:v>
      </x:c>
      <x:c r="F11" s="28" t="str">
        <x:v>Task 2</x:v>
      </x:c>
      <x:c r="G11" s="28" t="str">
        <x:v>Apply và verify</x:v>
      </x:c>
    </x:row>
    <x:row r="12" ht="50" hidden="0" customHeight="1">
      <x:c r="A12" s="28" t="str">
        <x:v>TEAM-DELETE</x:v>
      </x:c>
      <x:c r="B12" s="28" t="str">
        <x:v>Delete team</x:v>
      </x:c>
      <x:c r="C12" s="28" t="str">
        <x:v>Yêu cầu gốc</x:v>
      </x:c>
      <x:c r="D12" s="28" t="str">
        <x:v>Chưa có live plan/apply</x:v>
      </x:c>
      <x:c r="E12" s="28" t="str">
        <x:v>Chưa chạy</x:v>
      </x:c>
      <x:c r="F12" s="28" t="str">
        <x:v>Task 2</x:v>
      </x:c>
      <x:c r="G12" s="28" t="str">
        <x:v>Dùng team disposable</x:v>
      </x:c>
    </x:row>
    <x:row r="13" ht="50" hidden="0" customHeight="1">
      <x:c r="A13" s="28" t="str">
        <x:v>MEMBER-ADD</x:v>
      </x:c>
      <x:c r="B13" s="28" t="str">
        <x:v>Add member vào team</x:v>
      </x:c>
      <x:c r="C13" s="28" t="str">
        <x:v>Yêu cầu gốc</x:v>
      </x:c>
      <x:c r="D13" s="28" t="str">
        <x:v>Owner đã được add; user thường chưa thử</x:v>
      </x:c>
      <x:c r="E13" s="28" t="str">
        <x:v>Đạt một phần</x:v>
      </x:c>
      <x:c r="F13" s="28" t="str">
        <x:v>Task 2</x:v>
      </x:c>
      <x:c r="G13" s="28" t="str">
        <x:v>Cần active ordinary member</x:v>
      </x:c>
    </x:row>
    <x:row r="14" ht="50" hidden="0" customHeight="1">
      <x:c r="A14" s="28" t="str">
        <x:v>MEMBER-ROLE</x:v>
      </x:c>
      <x:c r="B14" s="28" t="str">
        <x:v>Đổi team role</x:v>
      </x:c>
      <x:c r="C14" s="28" t="str">
        <x:v>Yêu cầu gốc</x:v>
      </x:c>
      <x:c r="D14" s="28" t="str">
        <x:v>Mock đạt; chưa có active user thường</x:v>
      </x:c>
      <x:c r="E14" s="28" t="str">
        <x:v>Chặn</x:v>
      </x:c>
      <x:c r="F14" s="28" t="str">
        <x:v>Task 2</x:v>
      </x:c>
      <x:c r="G14" s="28" t="str">
        <x:v>Phụ thuộc Task 1</x:v>
      </x:c>
    </x:row>
    <x:row r="15" ht="50" hidden="0" customHeight="1">
      <x:c r="A15" s="28" t="str">
        <x:v>MEMBER-REMOVE</x:v>
      </x:c>
      <x:c r="B15" s="28" t="str">
        <x:v>Remove member khỏi team</x:v>
      </x:c>
      <x:c r="C15" s="28" t="str">
        <x:v>Yêu cầu gốc</x:v>
      </x:c>
      <x:c r="D15" s="28" t="str">
        <x:v>Chưa có active user thường</x:v>
      </x:c>
      <x:c r="E15" s="28" t="str">
        <x:v>Chặn</x:v>
      </x:c>
      <x:c r="F15" s="28" t="str">
        <x:v>Task 2</x:v>
      </x:c>
      <x:c r="G15" s="28" t="str">
        <x:v>Phụ thuộc Task 1</x:v>
      </x:c>
    </x:row>
    <x:row r="16" ht="50" hidden="0" customHeight="1">
      <x:c r="A16" s="28" t="str">
        <x:v>OUTSIDER</x:v>
      </x:c>
      <x:c r="B16" s="28" t="str">
        <x:v>User chưa thuộc org</x:v>
      </x:c>
      <x:c r="C16" s="28" t="str">
        <x:v>Boundary Task 1/2</x:v>
      </x:c>
      <x:c r="D16" s="28" t="str">
        <x:v>Live: lookup 404; không mutation</x:v>
      </x:c>
      <x:c r="E16" s="28" t="str">
        <x:v>Đạt</x:v>
      </x:c>
      <x:c r="F16" s="28" t="str">
        <x:v>Task 2</x:v>
      </x:c>
      <x:c r="G16" s="28" t="str">
        <x:v>Giữ guard read-only</x:v>
      </x:c>
    </x:row>
    <x:row r="17" ht="50" hidden="0" customHeight="1">
      <x:c r="A17" s="28" t="str">
        <x:v>AUTH</x:v>
      </x:c>
      <x:c r="B17" s="28" t="str">
        <x:v>Credential provider</x:v>
      </x:c>
      <x:c r="C17" s="28" t="str">
        <x:v>Điều kiện chạy</x:v>
      </x:c>
      <x:c r="D17" s="28" t="str">
        <x:v>Live: thiếu GITHUB_TOKEN trả 401</x:v>
      </x:c>
      <x:c r="E17" s="28" t="str">
        <x:v>Đạt</x:v>
      </x:c>
      <x:c r="F17" s="28" t="str">
        <x:v>Task 2</x:v>
      </x:c>
      <x:c r="G17" s="28" t="str">
        <x:v>Ghi limitation</x:v>
      </x:c>
    </x:row>
    <x:row r="18" ht="50" hidden="0" customHeight="1">
      <x:c r="A18" s="28" t="str">
        <x:v>NESTED</x:v>
      </x:c>
      <x:c r="B18" s="28" t="str">
        <x:v>Parent/child team</x:v>
      </x:c>
      <x:c r="C18" s="28" t="str">
        <x:v>Mở rộng ngoài yêu cầu tối thiểu</x:v>
      </x:c>
      <x:c r="D18" s="28" t="str">
        <x:v>Mock/preview; chưa live</x:v>
      </x:c>
      <x:c r="E18" s="28" t="str">
        <x:v>Chưa chạy</x:v>
      </x:c>
      <x:c r="F18" s="28" t="str">
        <x:v>Task 2</x:v>
      </x:c>
      <x:c r="G18" s="28" t="str">
        <x:v>Không dùng để kết luận task gốc</x:v>
      </x:c>
    </x:row>
    <x:row r="19" ht="50" hidden="0" customHeight="1">
      <x:c r="A19" s="28" t="str">
        <x:v>DRIFT</x:v>
      </x:c>
      <x:c r="B19" s="28" t="str">
        <x:v>Manual UI drift</x:v>
      </x:c>
      <x:c r="C19" s="28" t="str">
        <x:v>Mở rộng</x:v>
      </x:c>
      <x:c r="D19" s="28" t="str">
        <x:v>Chưa chạy</x:v>
      </x:c>
      <x:c r="E19" s="28" t="str">
        <x:v>Chưa chạy</x:v>
      </x:c>
      <x:c r="F19" s="28" t="str">
        <x:v>Task 2</x:v>
      </x:c>
      <x:c r="G19" s="28" t="str">
        <x:v>Chạy sau yêu cầu gốc nếu cần</x:v>
      </x:c>
    </x:row>
    <x:row r="20" ht="50" hidden="0" customHeight="1">
      <x:c r="A20" s="28" t="str">
        <x:v>IMPORT</x:v>
      </x:c>
      <x:c r="B20" s="28" t="str">
        <x:v>Import team cũ</x:v>
      </x:c>
      <x:c r="C20" s="28" t="str">
        <x:v>Mở rộng</x:v>
      </x:c>
      <x:c r="D20" s="28" t="str">
        <x:v>Chưa chạy</x:v>
      </x:c>
      <x:c r="E20" s="28" t="str">
        <x:v>Chưa chạy</x:v>
      </x:c>
      <x:c r="F20" s="28" t="str">
        <x:v>Task 2</x:v>
      </x:c>
      <x:c r="G20" s="28" t="str">
        <x:v>Không chặn kết luận task gốc</x:v>
      </x:c>
    </x:row>
    <x:row r="21"/>
    <x:row r="22"/>
    <x:row r="23" ht="15" hidden="0" customHeight="1">
      <x:c r="A23" s="6" t="str">
        <x:v>Limitation cần ghi trong kết luận</x:v>
      </x:c>
      <x:c r="B23" s="7"/>
      <x:c r="C23" s="7"/>
      <x:c r="D23" s="7"/>
      <x:c r="E23" s="7"/>
      <x:c r="F23" s="7"/>
      <x:c r="G23" s="8"/>
    </x:row>
    <x:row r="24" ht="15" hidden="0" customHeight="1">
      <x:c r="A24" s="23" t="str">
        <x:v>Limitation</x:v>
      </x:c>
      <x:c r="B24" s="23" t="str">
        <x:v>Liên quan</x:v>
      </x:c>
      <x:c r="C24" s="23" t="str">
        <x:v>Quan sát</x:v>
      </x:c>
      <x:c r="D24" s="23" t="str">
        <x:v>Cách ghi report</x:v>
      </x:c>
      <x:c r="E24" s="23" t="str">
        <x:v>Ảnh hưởng</x:v>
      </x:c>
      <x:c r="F24" s="23" t="str">
        <x:v>Owner</x:v>
      </x:c>
      <x:c r="G24" s="23" t="str">
        <x:v>Trạng thái</x:v>
      </x:c>
    </x:row>
    <x:row r="25" ht="48" hidden="0" customHeight="1">
      <x:c r="A25" s="27" t="str">
        <x:v>Org Members tách Task 1</x:v>
      </x:c>
      <x:c r="B25" s="27" t="str">
        <x:v>Team membership</x:v>
      </x:c>
      <x:c r="C25" s="27" t="str">
        <x:v>Code chỉ lookup read-only</x:v>
      </x:c>
      <x:c r="D25" s="27" t="str">
        <x:v>Không claim invite/update/remove org member</x:v>
      </x:c>
      <x:c r="E25" s="27" t="str">
        <x:v>Cần active member</x:v>
      </x:c>
      <x:c r="F25" s="27" t="str">
        <x:v>Hoàng</x:v>
      </x:c>
      <x:c r="G25" s="27" t="str">
        <x:v>Đang phụ thuộc</x:v>
      </x:c>
    </x:row>
    <x:row r="26" ht="48" hidden="0" customHeight="1">
      <x:c r="A26" s="28" t="str">
        <x:v>Live evidence chưa đủ</x:v>
      </x:c>
      <x:c r="B26" s="28" t="str">
        <x:v>Update/delete/role/remove</x:v>
      </x:c>
      <x:c r="C26" s="28" t="str">
        <x:v>Phần lớn mới mock hoặc planned</x:v>
      </x:c>
      <x:c r="D26" s="28" t="str">
        <x:v>Ghi rõ Chưa chạy</x:v>
      </x:c>
      <x:c r="E26" s="28" t="str">
        <x:v>Chưa kết luận lifecycle</x:v>
      </x:c>
      <x:c r="F26" s="28" t="str">
        <x:v>Task 2</x:v>
      </x:c>
      <x:c r="G26" s="28" t="str">
        <x:v>Còn việc</x:v>
      </x:c>
    </x:row>
    <x:row r="27" ht="48" hidden="0" customHeight="1">
      <x:c r="A27" s="28" t="str">
        <x:v>Owner không đại diện user thường</x:v>
      </x:c>
      <x:c r="B27" s="28" t="str">
        <x:v>Team role</x:v>
      </x:c>
      <x:c r="C27" s="28" t="str">
        <x:v>Owner luôn được maintainer</x:v>
      </x:c>
      <x:c r="D27" s="28" t="str">
        <x:v>Test thêm ordinary member</x:v>
      </x:c>
      <x:c r="E27" s="28" t="str">
        <x:v>Chưa đủ role evidence</x:v>
      </x:c>
      <x:c r="F27" s="28" t="str">
        <x:v>Task 2</x:v>
      </x:c>
      <x:c r="G27" s="28" t="str">
        <x:v>Còn việc</x:v>
      </x:c>
    </x:row>
    <x:row r="28" ht="48" hidden="0" customHeight="1">
      <x:c r="A28" s="28" t="str">
        <x:v>Membership là additive</x:v>
      </x:c>
      <x:c r="B28" s="28" t="str">
        <x:v>Direct membership</x:v>
      </x:c>
      <x:c r="C28" s="28" t="str">
        <x:v>User ngoài config không tự bị xóa</x:v>
      </x:c>
      <x:c r="D28" s="28" t="str">
        <x:v>Nêu behavior, không claim authoritative list</x:v>
      </x:c>
      <x:c r="E28" s="28" t="str">
        <x:v>Giới hạn governance</x:v>
      </x:c>
      <x:c r="F28" s="28" t="str">
        <x:v>Task 2</x:v>
      </x:c>
      <x:c r="G28" s="28" t="str">
        <x:v>Đã biết</x:v>
      </x:c>
    </x:row>
    <x:row r="29" ht="48" hidden="0" customHeight="1">
      <x:c r="A29" s="28" t="str">
        <x:v>Inherited membership</x:v>
      </x:c>
      <x:c r="B29" s="28" t="str">
        <x:v>Nested team</x:v>
      </x:c>
      <x:c r="C29" s="28" t="str">
        <x:v>Direct và inherited có thể khác nhau</x:v>
      </x:c>
      <x:c r="D29" s="28" t="str">
        <x:v>Chỉ claim direct relationship</x:v>
      </x:c>
      <x:c r="E29" s="28" t="str">
        <x:v>Cần kiểm tra riêng</x:v>
      </x:c>
      <x:c r="F29" s="28" t="str">
        <x:v>Task 2</x:v>
      </x:c>
      <x:c r="G29" s="28" t="str">
        <x:v>Mở rộng</x:v>
      </x:c>
    </x:row>
    <x:row r="30" ht="48" hidden="0" customHeight="1">
      <x:c r="A30" s="28" t="str">
        <x:v>Production controls</x:v>
      </x:c>
      <x:c r="B30" s="28" t="str">
        <x:v>Rollout tương lai</x:v>
      </x:c>
      <x:c r="C30" s="28" t="str">
        <x:v>Remote state/CI/GitHub App chưa làm</x:v>
      </x:c>
      <x:c r="D30" s="28" t="str">
        <x:v>Ghi là recommendation</x:v>
      </x:c>
      <x:c r="E30" s="28" t="str">
        <x:v>Ngoài kết luận PoC</x:v>
      </x:c>
      <x:c r="F30" s="28" t="str">
        <x:v>Team lead</x:v>
      </x:c>
      <x:c r="G30" s="28" t="str">
        <x:v>Ngoài phạm vi</x:v>
      </x:c>
    </x:row>
    <x:row r="31"/>
    <x:row r="32"/>
    <x:row r="33" ht="15" hidden="0" customHeight="1">
      <x:c r="A33" s="23" t="str">
        <x:v>Nguồn</x:v>
      </x:c>
      <x:c r="B33" s="23" t="str">
        <x:v>URL</x:v>
      </x:c>
    </x:row>
    <x:row r="34" ht="36" hidden="0" customHeight="1">
      <x:c r="A34" s="27" t="str">
        <x:v>GitHub Provider</x:v>
      </x:c>
      <x:c r="B34" s="27" t="str">
        <x:v>https://github.com/integrations/terraform-provider-github/tree/v6.13.0/docs</x:v>
      </x:c>
    </x:row>
    <x:row r="35" ht="36" hidden="0" customHeight="1">
      <x:c r="A35" s="28" t="str">
        <x:v>Team resource</x:v>
      </x:c>
      <x:c r="B35" s="28" t="str">
        <x:v>https://registry.terraform.io/providers/integrations/github/latest/docs/resources/team</x:v>
      </x:c>
    </x:row>
    <x:row r="36" ht="36" hidden="0" customHeight="1">
      <x:c r="A36" s="28" t="str">
        <x:v>Team membership resource</x:v>
      </x:c>
      <x:c r="B36" s="28" t="str">
        <x:v>https://registry.terraform.io/providers/integrations/github/latest/docs/resources/team_membership</x:v>
      </x:c>
    </x:row>
    <x:row r="37" ht="24" hidden="0" customHeight="1">
      <x:c r="A37" s="28" t="str">
        <x:v>GitHub team API</x:v>
      </x:c>
      <x:c r="B37" s="28" t="str">
        <x:v>https://docs.github.com/en/rest/teams/teams</x:v>
      </x:c>
    </x:row>
    <x:row r="38" ht="24" hidden="0" customHeight="1">
      <x:c r="A38" s="28" t="str">
        <x:v>GitHub organization membership API</x:v>
      </x:c>
      <x:c r="B38" s="28" t="str">
        <x:v>https://docs.github.com/en/rest/orgs/members</x:v>
      </x:c>
    </x:row>
  </x:sheetData>
  <x:conditionalFormatting sqref="E9:E20">
    <x:cfRule type="cellIs" dxfId="10" priority="1" operator="equal">
      <x:formula>"Đạt"</x:formula>
    </x:cfRule>
    <x:cfRule type="cellIs" dxfId="11" priority="2" operator="equal">
      <x:formula>"Hoàn tất"</x:formula>
    </x:cfRule>
    <x:cfRule type="cellIs" dxfId="12" priority="3" operator="equal">
      <x:formula>"Đạt một phần"</x:formula>
    </x:cfRule>
    <x:cfRule type="cellIs" dxfId="13" priority="4" operator="equal">
      <x:formula>"Chưa chạy"</x:formula>
    </x:cfRule>
    <x:cfRule type="cellIs" dxfId="14" priority="5" operator="equal">
      <x:formula>"Chặn"</x:formula>
    </x:cfRule>
  </x:conditionalFormatting>
  <x:dataValidations count="1">
    <x:dataValidation type="list" sqref="E9:E20">
      <x:formula1>"Đạt,Đạt một phần,Chưa chạy,Chặn"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dcd207b1237041d2"/>
    <x:tablePart xmlns:r="http://schemas.openxmlformats.org/officeDocument/2006/relationships" r:id="R82315bf544664470"/>
  </x:tableParts>
</x:worksheet>
</file>