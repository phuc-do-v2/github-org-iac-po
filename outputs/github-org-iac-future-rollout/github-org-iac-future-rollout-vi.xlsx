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89dc53a79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23b00eeef0054644"/>
    <x:sheet xmlns:r="http://schemas.openxmlformats.org/officeDocument/2006/relationships" name="IaC nhưng Manual UI" sheetId="2" r:id="R81f66b3fb4594e3b"/>
    <x:sheet xmlns:r="http://schemas.openxmlformats.org/officeDocument/2006/relationships" name="Lộ trình" sheetId="3" r:id="R3604fcb2b966446a"/>
    <x:sheet xmlns:r="http://schemas.openxmlformats.org/officeDocument/2006/relationships" name="Kiểm thử &amp; rủi ro" sheetId="4" r:id="R340a60e3d5d6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16"/>
      <x:color rgb="FF17365D"/>
      <x:name val="Arial"/>
    </x:font>
    <x:font>
      <x:i/>
      <x:sz val="10"/>
      <x:color rgb="FF595959"/>
      <x:name val="Arial"/>
    </x:font>
    <x:font>
      <x:b/>
      <x:sz val="11"/>
      <x:color rgb="FF17365D"/>
      <x:name val="Arial"/>
    </x:font>
    <x:font>
      <x:b/>
      <x:sz val="10"/>
      <x:color rgb="FF17365D"/>
      <x:name val="Arial"/>
    </x:font>
    <x:font>
      <x:b/>
      <x:sz val="10"/>
      <x:color rgb="FF7F6000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2F75B5"/>
      <x:name val="Arial"/>
    </x:font>
    <x:font>
      <x:b/>
      <x:sz val="9"/>
      <x:color rgb="FF17365D"/>
      <x:name val="Arial"/>
    </x:font>
    <x:font>
      <x:sz val="9"/>
      <x:color rgb="FF595959"/>
      <x:name val="Arial"/>
    </x:font>
    <x:font>
      <x:b/>
      <x:sz val="14"/>
      <x:color rgb="FF17365D"/>
      <x:name val="Arial"/>
    </x:font>
    <x:font>
      <x:b/>
      <x:sz val="10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8">
    <x:border/>
    <x:border>
      <x:bottom style="medium">
        <x:color rgb="FF2F75B5"/>
      </x:bottom>
    </x:border>
    <x:border>
      <x:left style="thin">
        <x:color rgb="FFB8C2CC"/>
      </x:lef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B8C2CC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200" fontId="7" fillId="0" borderId="7" xfId="0" applyNumberFormat="1" applyFont="1" applyFill="1" applyBorder="1" applyAlignment="1">
      <x:alignment vertical="top" wrapText="1"/>
    </x:xf>
    <x:xf numFmtId="200" fontId="7" fillId="0" borderId="3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4" fillId="0" borderId="7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200" fontId="11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7" fillId="0" borderId="1" xfId="0" applyNumberFormat="1" applyFont="1" applyFill="1" applyBorder="1"/>
  </x:cellXfs>
  <x:cellStyles count="1">
    <x:cellStyle name="Normal" xfId="0"/>
  </x:cellStyles>
  <x:dxfs count="12"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F3F4F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F3F4F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F3F4F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930cc966b48c9" /><Relationship Type="http://schemas.openxmlformats.org/officeDocument/2006/relationships/theme" Target="/xl/theme/theme1.xml" Id="R28a96fdb10e44adc" /><Relationship Type="http://schemas.openxmlformats.org/officeDocument/2006/relationships/sharedStrings" Target="/xl/sharedStrings.xml" Id="Re047c1123a584641" /><Relationship Type="http://schemas.openxmlformats.org/officeDocument/2006/relationships/worksheet" Target="/xl/worksheets/sheet1.xml" Id="R23b00eeef0054644" /><Relationship Type="http://schemas.openxmlformats.org/officeDocument/2006/relationships/worksheet" Target="/xl/worksheets/sheet2.xml" Id="R81f66b3fb4594e3b" /><Relationship Type="http://schemas.openxmlformats.org/officeDocument/2006/relationships/worksheet" Target="/xl/worksheets/sheet3.xml" Id="R3604fcb2b966446a" /><Relationship Type="http://schemas.openxmlformats.org/officeDocument/2006/relationships/worksheet" Target="/xl/worksheets/sheet4.xml" Id="R340a60e3d5d643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1ec8037a0d45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Bằng chứng PoC hiện tại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Số case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'Tổng quan'!$H$5:$H$8</c:f>
              <c:strCache>
                <c:ptCount val="0"/>
              </c:strCache>
            </c:strRef>
          </c:cat>
          <c:val>
            <c:numRef>
              <c:f>'Tổng quan'!$I$5:$I$8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1ec8037a0d45d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aCManualComparison" displayName="IaCManualComparison" ref="A4:F12" headerRowCount="1" totalsRowCount="0" totalsRowShown="0">
  <x:tableColumns count="6">
    <x:tableColumn id="1" name="Tiêu chí"/>
    <x:tableColumn id="2" name="IaC – Ưu"/>
    <x:tableColumn id="3" name="IaC – Nhưng"/>
    <x:tableColumn id="4" name="Manual UI – Ưu"/>
    <x:tableColumn id="5" name="Manual UI – Nhưng"/>
    <x:tableColumn id="6" name="Khuyến ngh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loutRoadmap" displayName="RolloutRoadmap" ref="A4:I9" headerRowCount="1" totalsRowCount="0" totalsRowShown="0">
  <x:tableColumns count="9">
    <x:tableColumn id="1" name="Phase"/>
    <x:tableColumn id="2" name="Mục tiêu"/>
    <x:tableColumn id="3" name="Phạm vi"/>
    <x:tableColumn id="4" name="Deliverable"/>
    <x:tableColumn id="5" name="Exit criteria"/>
    <x:tableColumn id="6" name="Owner"/>
    <x:tableColumn id="7" name="Tuần"/>
    <x:tableColumn id="8" name="Bắt đầu"/>
    <x:tableColumn id="9" name="Trạng thá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Tests" displayName="DecisionTests" ref="A8:G20" headerRowCount="1" totalsRowCount="0" totalsRowShown="0">
  <x:tableColumns count="7">
    <x:tableColumn id="1" name="ID"/>
    <x:tableColumn id="2" name="Case"/>
    <x:tableColumn id="3" name="Rủi ro được kiểm"/>
    <x:tableColumn id="4" name="Bằng chứng hiện tại"/>
    <x:tableColumn id="5" name="Trạng thái"/>
    <x:tableColumn id="6" name="Owner"/>
    <x:tableColumn id="7" name="Bước kế tiế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skControls" displayName="RiskControls" ref="A24:G30" headerRowCount="1" totalsRowCount="0" totalsRowShown="0">
  <x:tableColumns count="7">
    <x:tableColumn id="1" name="Rủi ro"/>
    <x:tableColumn id="2" name="Khả năng"/>
    <x:tableColumn id="3" name="Tác động"/>
    <x:tableColumn id="4" name="Kiểm soát"/>
    <x:tableColumn id="5" name="Khi nào"/>
    <x:tableColumn id="6" name="Owner"/>
    <x:tableColumn id="7" name="Mức còn l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f3b79914a4444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44b9e9ab0b49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315137d88e4f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d8d760829d4111" /><Relationship Type="http://schemas.openxmlformats.org/officeDocument/2006/relationships/table" Target="/xl/tables/table4.xml" Id="R5e504cc6da7148ec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" hidden="0" customWidth="1"/>
    <x:col min="8" max="8" width="21" hidden="0" customWidth="1"/>
    <x:col min="9" max="9" width="11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4" hidden="0" customHeight="1">
      <x:c r="A1" s="40" t="str">
        <x:v>GitHub Organization IaC – định hướng triển khai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</x:row>
    <x:row r="2" ht="24" hidden="0" customHeight="1">
      <x:c r="A2" s="3" t="str">
        <x:v>Tóm tắt cho team lead | Sandbox xbrain-org-poc | Cập nhật 2026-09-30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/>
    <x:row r="4" ht="15" hidden="0" customHeight="1">
      <x:c r="A4" s="6" t="str">
        <x:v>Quyết định hiện tại</x:v>
      </x:c>
      <x:c r="B4" s="7"/>
      <x:c r="C4" s="7"/>
      <x:c r="D4" s="7"/>
      <x:c r="E4" s="7"/>
      <x:c r="F4" s="8"/>
      <x:c r="H4" s="23" t="str">
        <x:v>Trạng thái kiểm thử</x:v>
      </x:c>
      <x:c r="I4" s="23" t="str">
        <x:v>Số case</x:v>
      </x:c>
    </x:row>
    <x:row r="5" ht="15" hidden="0" customHeight="1">
      <x:c r="A5" s="12" t="str">
        <x:v>Khuyến nghị</x:v>
      </x:c>
      <x:c r="B5" s="15" t="str">
        <x:v>Go có điều kiện</x:v>
      </x:c>
      <x:c r="H5" s="27" t="str">
        <x:v>Đạt</x:v>
      </x:c>
      <x:c r="I5" s="31" t="n">
        <x:f>COUNTIF('Kiểm thử &amp; rủi ro'!$E$9:$E$20,"Đạt")</x:f>
        <x:v>3</x:v>
      </x:c>
    </x:row>
    <x:row r="6" ht="15" hidden="0" customHeight="1">
      <x:c r="A6" s="12" t="str">
        <x:v>Đã chứng minh</x:v>
      </x:c>
      <x:c r="B6" s="16" t="str">
        <x:v>Tạo team + membership; plan sau apply không đổi</x:v>
      </x:c>
      <x:c r="H6" s="28" t="str">
        <x:v>Đạt một phần</x:v>
      </x:c>
      <x:c r="I6" s="32" t="n">
        <x:f>COUNTIF('Kiểm thử &amp; rủi ro'!$E$9:$E$20,"Đạt một phần")</x:f>
        <x:v>2</x:v>
      </x:c>
    </x:row>
    <x:row r="7" ht="15" hidden="0" customHeight="1">
      <x:c r="A7" s="12" t="str">
        <x:v>Đang quản lý</x:v>
      </x:c>
      <x:c r="B7" s="13" t="str">
        <x:v>poc-devops / owner maintainer</x:v>
      </x:c>
      <x:c r="H7" s="28" t="str">
        <x:v>Chưa chạy</x:v>
      </x:c>
      <x:c r="I7" s="32" t="n">
        <x:f>COUNTIF('Kiểm thử &amp; rủi ro'!$E$9:$E$20,"Chưa chạy")</x:f>
        <x:v>6</x:v>
      </x:c>
    </x:row>
    <x:row r="8" ht="15" hidden="0" customHeight="1">
      <x:c r="A8" s="12" t="str">
        <x:v>Chưa chứng minh</x:v>
      </x:c>
      <x:c r="B8" s="13" t="str">
        <x:v>Update role user thường, drift, import, cleanup</x:v>
      </x:c>
      <x:c r="H8" s="28" t="str">
        <x:v>Chặn</x:v>
      </x:c>
      <x:c r="I8" s="32" t="n">
        <x:f>COUNTIF('Kiểm thử &amp; rủi ro'!$E$9:$E$20,"Chặn")</x:f>
        <x:v>1</x:v>
      </x:c>
    </x:row>
    <x:row r="9" ht="15" hidden="0" customHeight="1">
      <x:c r="A9" s="12" t="str">
        <x:v>Production</x:v>
      </x:c>
      <x:c r="B9" s="17" t="str">
        <x:v>Chưa sẵn sàng</x:v>
      </x:c>
    </x:row>
    <x:row r="10"/>
    <x:row r="11" ht="15" hidden="0" customHeight="1">
      <x:c r="A11" s="6" t="str">
        <x:v>Cổng quyết định</x:v>
      </x:c>
      <x:c r="B11" s="7"/>
      <x:c r="C11" s="7"/>
      <x:c r="D11" s="7"/>
      <x:c r="E11" s="7"/>
      <x:c r="F11" s="8"/>
    </x:row>
    <x:row r="12" ht="15" hidden="0" customHeight="1">
      <x:c r="A12" s="23" t="str">
        <x:v>Cổng</x:v>
      </x:c>
      <x:c r="B12" s="23" t="str">
        <x:v>Hiện tại</x:v>
      </x:c>
      <x:c r="C12" s="23" t="str">
        <x:v>Bằng chứng</x:v>
      </x:c>
      <x:c r="D12" s="23" t="str">
        <x:v>Điều kiện đạt</x:v>
      </x:c>
      <x:c r="E12" s="23" t="str">
        <x:v>Owner</x:v>
      </x:c>
      <x:c r="F12" s="23" t="str">
        <x:v>Quyết định</x:v>
      </x:c>
    </x:row>
    <x:row r="13" ht="15" hidden="0" customHeight="1">
      <x:c r="A13" s="27" t="str">
        <x:v>Create &amp; convergence</x:v>
      </x:c>
      <x:c r="B13" s="27" t="str">
        <x:v>Đạt</x:v>
      </x:c>
      <x:c r="C13" s="27" t="str">
        <x:v>2 add; follow-up plan = 0</x:v>
      </x:c>
      <x:c r="D13" s="27" t="str">
        <x:v>Giữ no-change plan</x:v>
      </x:c>
      <x:c r="E13" s="27" t="str">
        <x:v>Platform</x:v>
      </x:c>
      <x:c r="F13" s="27" t="str">
        <x:v>Tiếp tục</x:v>
      </x:c>
    </x:row>
    <x:row r="14" ht="24" hidden="0" customHeight="1">
      <x:c r="A14" s="28" t="str">
        <x:v>Membership boundary</x:v>
      </x:c>
      <x:c r="B14" s="28" t="str">
        <x:v>Đạt một phần</x:v>
      </x:c>
      <x:c r="C14" s="28" t="str">
        <x:v>Outsider 404; pending chưa thử</x:v>
      </x:c>
      <x:c r="D14" s="28" t="str">
        <x:v>Pending + active user</x:v>
      </x:c>
      <x:c r="E14" s="28" t="str">
        <x:v>Org owner</x:v>
      </x:c>
      <x:c r="F14" s="28" t="str">
        <x:v>Tiếp tục có kiểm soát</x:v>
      </x:c>
    </x:row>
    <x:row r="15" ht="15" hidden="0" customHeight="1">
      <x:c r="A15" s="28" t="str">
        <x:v>Full lifecycle</x:v>
      </x:c>
      <x:c r="B15" s="28" t="str">
        <x:v>Chưa chạy</x:v>
      </x:c>
      <x:c r="C15" s="28" t="str">
        <x:v>Chưa có update/remove/import</x:v>
      </x:c>
      <x:c r="D15" s="28" t="str">
        <x:v>Hoàn tất edge cases</x:v>
      </x:c>
      <x:c r="E15" s="28" t="str">
        <x:v>Platform</x:v>
      </x:c>
      <x:c r="F15" s="28" t="str">
        <x:v>Chưa production</x:v>
      </x:c>
    </x:row>
    <x:row r="16" ht="15" hidden="0" customHeight="1">
      <x:c r="A16" s="28" t="str">
        <x:v>State &amp; review</x:v>
      </x:c>
      <x:c r="B16" s="28" t="str">
        <x:v>Chưa chạy</x:v>
      </x:c>
      <x:c r="C16" s="28" t="str">
        <x:v>State local</x:v>
      </x:c>
      <x:c r="D16" s="28" t="str">
        <x:v>Remote state + locking + PR</x:v>
      </x:c>
      <x:c r="E16" s="28" t="str">
        <x:v>Platform lead</x:v>
      </x:c>
      <x:c r="F16" s="28" t="str">
        <x:v>Chưa production</x:v>
      </x:c>
    </x:row>
    <x:row r="17" ht="15" hidden="0" customHeight="1">
      <x:c r="A17" s="28" t="str">
        <x:v>Credential model</x:v>
      </x:c>
      <x:c r="B17" s="28" t="str">
        <x:v>Chặn</x:v>
      </x:c>
      <x:c r="C17" s="28" t="str">
        <x:v>GCM token thiếu admin:org</x:v>
      </x:c>
      <x:c r="D17" s="28" t="str">
        <x:v>GitHub App/PAT đúng quyền</x:v>
      </x:c>
      <x:c r="E17" s="28" t="str">
        <x:v>Org owner</x:v>
      </x:c>
      <x:c r="F17" s="28" t="str">
        <x:v>Phải xử lý</x:v>
      </x:c>
    </x:row>
    <x:row r="18"/>
    <x:row r="19"/>
    <x:row r="20" ht="15" hidden="0" customHeight="1">
      <x:c r="A20" s="6" t="str">
        <x:v>Khuyến nghị cho giai đoạn tiếp theo</x:v>
      </x:c>
      <x:c r="B20" s="7"/>
      <x:c r="C20" s="7"/>
      <x:c r="D20" s="7"/>
      <x:c r="E20" s="7"/>
      <x:c r="F20" s="8"/>
    </x:row>
    <x:row r="21" ht="36" hidden="0" customHeight="1">
      <x:c r="A21" s="30" t="str">
        <x:v>1</x:v>
      </x:c>
      <x:c r="B21" s="11" t="str">
        <x:v>Hoàn tất lifecycle trên sandbox</x:v>
      </x:c>
      <x:c r="C21" s="11" t="str">
        <x:v>Role, drift, import, remove, cleanup</x:v>
      </x:c>
      <x:c r="D21" s="11" t="str">
        <x:v>Bắt buộc trước pilot</x:v>
      </x:c>
      <x:c r="E21" t="str"/>
      <x:c r="F21" t="str"/>
    </x:row>
    <x:row r="22" ht="36" hidden="0" customHeight="1">
      <x:c r="A22" s="30" t="str">
        <x:v>2</x:v>
      </x:c>
      <x:c r="B22" s="11" t="str">
        <x:v>Tách bootstrap khỏi steady state</x:v>
      </x:c>
      <x:c r="C22" s="11" t="str">
        <x:v>UI/API mời org member; Terraform quản lý team</x:v>
      </x:c>
      <x:c r="D22" s="11" t="str">
        <x:v>Giữ boundary rõ</x:v>
      </x:c>
      <x:c r="E22" t="str"/>
      <x:c r="F22" t="str"/>
    </x:row>
    <x:row r="23" ht="36" hidden="0" customHeight="1">
      <x:c r="A23" s="30" t="str">
        <x:v>3</x:v>
      </x:c>
      <x:c r="B23" s="11" t="str">
        <x:v>Chuẩn hóa credential</x:v>
      </x:c>
      <x:c r="C23" s="11" t="str">
        <x:v>GitHub App hoặc PAT ngắn hạn đúng quyền</x:v>
      </x:c>
      <x:c r="D23" s="11" t="str">
        <x:v>Không dùng token cá nhân dài hạn</x:v>
      </x:c>
      <x:c r="E23" t="str"/>
      <x:c r="F23" t="str"/>
    </x:row>
    <x:row r="24" ht="36" hidden="0" customHeight="1">
      <x:c r="A24" s="30" t="str">
        <x:v>4</x:v>
      </x:c>
      <x:c r="B24" s="11" t="str">
        <x:v>Chuyển state ra backend có locking</x:v>
      </x:c>
      <x:c r="C24" s="11" t="str">
        <x:v>Bảo vệ state và chống apply đồng thời</x:v>
      </x:c>
      <x:c r="D24" s="11" t="str">
        <x:v>Bắt buộc trước nhiều admin</x:v>
      </x:c>
      <x:c r="E24" t="str"/>
      <x:c r="F24" t="str"/>
    </x:row>
    <x:row r="25" ht="36" hidden="0" customHeight="1">
      <x:c r="A25" s="30" t="str">
        <x:v>5</x:v>
      </x:c>
      <x:c r="B25" s="11" t="str">
        <x:v>Đưa thay đổi qua PR</x:v>
      </x:c>
      <x:c r="C25" s="11" t="str">
        <x:v>Plan, review, apply có kiểm soát</x:v>
      </x:c>
      <x:c r="D25" s="11" t="str">
        <x:v>Audit và rollback rõ</x:v>
      </x:c>
      <x:c r="E25" t="str"/>
      <x:c r="F25" t="str"/>
    </x:row>
    <x:row r="26"/>
    <x:row r="27"/>
    <x:row r="28" ht="15" hidden="0" customHeight="1">
      <x:c r="A28" s="33" t="str">
        <x:v>Nguồn</x:v>
      </x:c>
      <x:c r="B28" s="33" t="str">
        <x:v>URL</x:v>
      </x:c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</x:row>
    <x:row r="29" ht="15" hidden="0" customHeight="1">
      <x:c r="A29" s="34" t="str">
        <x:v>Terraform GitHub Provider 6.13.0</x:v>
      </x:c>
      <x:c r="B29" s="34" t="str">
        <x:v>https://registry.terraform.io/providers/integrations/github/latest/docs</x:v>
      </x:c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</x:row>
    <x:row r="30" ht="15" hidden="0" customHeight="1">
      <x:c r="A30" s="34" t="str">
        <x:v>GitHub team API</x:v>
      </x:c>
      <x:c r="B30" s="34" t="str">
        <x:v>https://docs.github.com/en/rest/teams/teams</x:v>
      </x:c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</x:row>
    <x:row r="31" ht="15" hidden="0" customHeight="1">
      <x:c r="A31" s="34" t="str">
        <x:v>PoC repository</x:v>
      </x:c>
      <x:c r="B31" s="34" t="str">
        <x:v>https://github.com/phuc-do-v2/github-org-iac-po</x:v>
      </x:c>
      <x:c r="C31" t="str"/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/>
    </x:row>
  </x:sheetData>
  <x:conditionalFormatting sqref="B13:B17">
    <x:cfRule type="cellIs" dxfId="0" priority="1" operator="equal">
      <x:formula>"Đạt"</x:formula>
    </x:cfRule>
    <x:cfRule type="cellIs" dxfId="1" priority="2" operator="equal">
      <x:formula>"Đạt một phần"</x:formula>
    </x:cfRule>
    <x:cfRule type="cellIs" dxfId="2" priority="3" operator="equal">
      <x:formula>"Chưa chạy"</x:formula>
    </x:cfRule>
    <x:cfRule type="cellIs" dxfId="3" priority="4" operator="equal">
      <x:formula>"Chặn"</x:formula>
    </x:cfRule>
  </x:conditionalFormatting>
  <x:pageMargins left="0.7" right="0.7" top="0.75" bottom="0.75" header="0.3" footer="0.3"/>
  <x:drawing xmlns:r="http://schemas.openxmlformats.org/officeDocument/2006/relationships" r:id="R4f3b79914a4444d6"/>
</x:worksheet>
</file>

<file path=xl/worksheets/sheet2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20" hidden="0" customWidth="1"/>
  </x:cols>
  <x:sheetData>
    <x:row r="1" ht="24" hidden="0" customHeight="1">
      <x:c r="A1" s="40" t="str">
        <x:v>IaC nhưng vẫn cần Manual UI</x:v>
      </x:c>
      <x:c r="B1" s="41"/>
      <x:c r="C1" s="41"/>
      <x:c r="D1" s="41"/>
      <x:c r="E1" s="41"/>
      <x:c r="F1" s="41"/>
    </x:row>
    <x:row r="2" ht="24" hidden="0" customHeight="1">
      <x:c r="A2" s="3" t="str">
        <x:v>So sánh trade-off để chọn đúng công cụ cho từng loại thay đổi</x:v>
      </x:c>
      <x:c r="B2" s="3"/>
      <x:c r="C2" s="3"/>
      <x:c r="D2" s="3"/>
      <x:c r="E2" s="3"/>
      <x:c r="F2" s="3"/>
    </x:row>
    <x:row r="3"/>
    <x:row r="4" ht="15" hidden="0" customHeight="1">
      <x:c r="A4" s="23" t="str">
        <x:v>Tiêu chí</x:v>
      </x:c>
      <x:c r="B4" s="23" t="str">
        <x:v>IaC – Ưu</x:v>
      </x:c>
      <x:c r="C4" s="23" t="str">
        <x:v>IaC – Nhưng</x:v>
      </x:c>
      <x:c r="D4" s="23" t="str">
        <x:v>Manual UI – Ưu</x:v>
      </x:c>
      <x:c r="E4" s="23" t="str">
        <x:v>Manual UI – Nhưng</x:v>
      </x:c>
      <x:c r="F4" s="23" t="str">
        <x:v>Khuyến nghị</x:v>
      </x:c>
    </x:row>
    <x:row r="5" ht="62" hidden="0" customHeight="1">
      <x:c r="A5" s="27" t="str">
        <x:v>Thay đổi lặp lại</x:v>
      </x:c>
      <x:c r="B5" s="27" t="str">
        <x:v>Nhất quán, review được, tái tạo được</x:v>
      </x:c>
      <x:c r="C5" s="27" t="str">
        <x:v>Cần state và pipeline ổn định</x:v>
      </x:c>
      <x:c r="D5" s="27" t="str">
        <x:v>Nhanh với một thay đổi nhỏ</x:v>
      </x:c>
      <x:c r="E5" s="27" t="str">
        <x:v>Dễ lệch chuẩn khi số lượng tăng</x:v>
      </x:c>
      <x:c r="F5" s="35" t="str">
        <x:v>IaC chính</x:v>
      </x:c>
    </x:row>
    <x:row r="6" ht="62" hidden="0" customHeight="1">
      <x:c r="A6" s="28" t="str">
        <x:v>Audit và phê duyệt</x:v>
      </x:c>
      <x:c r="B6" s="28" t="str">
        <x:v>Có commit, PR và plan</x:v>
      </x:c>
      <x:c r="C6" s="28" t="str">
        <x:v>Plan không hiển thị side effect ngoài state</x:v>
      </x:c>
      <x:c r="D6" s="28" t="str">
        <x:v>GitHub audit log hỗ trợ tra cứu</x:v>
      </x:c>
      <x:c r="E6" s="28" t="str">
        <x:v>Khó thấy ý định trước thay đổi</x:v>
      </x:c>
      <x:c r="F6" s="36" t="str">
        <x:v>IaC chính</x:v>
      </x:c>
    </x:row>
    <x:row r="7" ht="62" hidden="0" customHeight="1">
      <x:c r="A7" s="28" t="str">
        <x:v>Drift</x:v>
      </x:c>
      <x:c r="B7" s="28" t="str">
        <x:v>Plan phát hiện cấu hình bị sửa</x:v>
      </x:c>
      <x:c r="C7" s="28" t="str">
        <x:v>Không quản lý đối tượng ngoài config</x:v>
      </x:c>
      <x:c r="D7" s="28" t="str">
        <x:v>Admin nhìn thấy trạng thái hiện tại</x:v>
      </x:c>
      <x:c r="E7" s="28" t="str">
        <x:v>Không tự chỉ ra chênh lệch với chuẩn</x:v>
      </x:c>
      <x:c r="F7" s="36" t="str">
        <x:v>IaC chính</x:v>
      </x:c>
    </x:row>
    <x:row r="8" ht="62" hidden="0" customHeight="1">
      <x:c r="A8" s="28" t="str">
        <x:v>Bootstrap</x:v>
      </x:c>
      <x:c r="B8" s="28" t="str">
        <x:v>Có thể code hóa sau khi nền tảng sẵn sàng</x:v>
      </x:c>
      <x:c r="C8" s="28" t="str">
        <x:v>Token, state và backend phải có trước</x:v>
      </x:c>
      <x:c r="D8" s="28" t="str">
        <x:v>Tạo org, token, invitation ban đầu nhanh</x:v>
      </x:c>
      <x:c r="E8" s="28" t="str">
        <x:v>Khó lặp lại và dễ thiếu bằng chứng</x:v>
      </x:c>
      <x:c r="F8" s="36" t="str">
        <x:v>UI bổ trợ</x:v>
      </x:c>
    </x:row>
    <x:row r="9" ht="62" hidden="0" customHeight="1">
      <x:c r="A9" s="28" t="str">
        <x:v>Sự cố khẩn cấp</x:v>
      </x:c>
      <x:c r="B9" s="28" t="str">
        <x:v>Có lịch sử nếu vẫn qua Git</x:v>
      </x:c>
      <x:c r="C9" s="28" t="str">
        <x:v>Có thể chậm khi cần xử lý tức thời</x:v>
      </x:c>
      <x:c r="D9" s="28" t="str">
        <x:v>Phản ứng nhanh</x:v>
      </x:c>
      <x:c r="E9" s="28" t="str">
        <x:v>Dễ quên reconcile về code</x:v>
      </x:c>
      <x:c r="F9" s="36" t="str">
        <x:v>Kết hợp</x:v>
      </x:c>
    </x:row>
    <x:row r="10" ht="62" hidden="0" customHeight="1">
      <x:c r="A10" s="28" t="str">
        <x:v>Nested team</x:v>
      </x:c>
      <x:c r="B10" s="28" t="str">
        <x:v>Dependency rõ trong code</x:v>
      </x:c>
      <x:c r="C10" s="28" t="str">
        <x:v>Xóa parent có thể cascade ngoài plan</x:v>
      </x:c>
      <x:c r="D10" s="28" t="str">
        <x:v>Dễ quan sát hierarchy</x:v>
      </x:c>
      <x:c r="E10" s="28" t="str">
        <x:v>Click nhầm có thể ảnh hưởng rộng</x:v>
      </x:c>
      <x:c r="F10" s="36" t="str">
        <x:v>IaC + checklist</x:v>
      </x:c>
    </x:row>
    <x:row r="11" ht="62" hidden="0" customHeight="1">
      <x:c r="A11" s="28" t="str">
        <x:v>Membership</x:v>
      </x:c>
      <x:c r="B11" s="28" t="str">
        <x:v>Role và direct relationship rõ</x:v>
      </x:c>
      <x:c r="C11" s="28" t="str">
        <x:v>Inherited/IdP membership cần quy ước riêng</x:v>
      </x:c>
      <x:c r="D11" s="28" t="str">
        <x:v>Thuận tiện xử lý ngoại lệ</x:v>
      </x:c>
      <x:c r="E11" s="28" t="str">
        <x:v>Khó kiểm soát ở quy mô lớn</x:v>
      </x:c>
      <x:c r="F11" s="36" t="str">
        <x:v>IaC chính</x:v>
      </x:c>
    </x:row>
    <x:row r="12" ht="62" hidden="0" customHeight="1">
      <x:c r="A12" s="28" t="str">
        <x:v>Import tài nguyên cũ</x:v>
      </x:c>
      <x:c r="B12" s="28" t="str">
        <x:v>Đưa tài nguyên hiện hữu vào governance</x:v>
      </x:c>
      <x:c r="C12" s="28" t="str">
        <x:v>Cấu hình lệch có thể tạo update/replace</x:v>
      </x:c>
      <x:c r="D12" s="28" t="str">
        <x:v>Không cần migration ban đầu</x:v>
      </x:c>
      <x:c r="E12" s="28" t="str">
        <x:v>Tiếp tục duy trì thủ công</x:v>
      </x:c>
      <x:c r="F12" s="36" t="str">
        <x:v>IaC theo từng đợt</x:v>
      </x:c>
    </x:row>
    <x:row r="13"/>
    <x:row r="14"/>
    <x:row r="15" ht="15" hidden="0" customHeight="1">
      <x:c r="A15" s="6" t="str">
        <x:v>Nguyên tắc vận hành đề xuất</x:v>
      </x:c>
      <x:c r="B15" s="7"/>
      <x:c r="C15" s="7"/>
      <x:c r="D15" s="7"/>
      <x:c r="E15" s="7"/>
      <x:c r="F15" s="8"/>
    </x:row>
    <x:row r="16" ht="26.399999618530273" hidden="0" customHeight="1">
      <x:c r="A16" s="10" t="str">
        <x:v>Steady state</x:v>
      </x:c>
      <x:c r="B16" s="11" t="str">
        <x:v>Terraform là nguồn chuẩn cho team và direct membership.</x:v>
      </x:c>
      <x:c r="C16" t="str"/>
      <x:c r="D16" t="str"/>
      <x:c r="E16" t="str"/>
      <x:c r="F16" t="str"/>
    </x:row>
    <x:row r="17" ht="26.399999618530273" hidden="0" customHeight="1">
      <x:c r="A17" s="10" t="str">
        <x:v>Bootstrap</x:v>
      </x:c>
      <x:c r="B17" s="11" t="str">
        <x:v>UI/API chỉ dùng để tạo credential, mời org member và xử lý điều kiện ban đầu.</x:v>
      </x:c>
      <x:c r="C17" t="str"/>
      <x:c r="D17" t="str"/>
      <x:c r="E17" t="str"/>
      <x:c r="F17" t="str"/>
    </x:row>
    <x:row r="18" ht="39.599998474121094" hidden="0" customHeight="1">
      <x:c r="A18" s="10" t="str">
        <x:v>Break-glass</x:v>
      </x:c>
      <x:c r="B18" s="11" t="str">
        <x:v>Cho phép UI khi khẩn cấp, nhưng phải tạo PR reconcile trong ngày làm việc kế tiếp.</x:v>
      </x:c>
      <x:c r="C18" t="str"/>
      <x:c r="D18" t="str"/>
      <x:c r="E18" t="str"/>
      <x:c r="F18" t="str"/>
    </x:row>
    <x:row r="19" ht="26.399999618530273" hidden="0" customHeight="1">
      <x:c r="A19" s="10" t="str">
        <x:v>Ngoài phạm vi</x:v>
      </x:c>
      <x:c r="B19" s="11" t="str">
        <x:v>IdP/SCIM và repository permission có owner/quy trình riêng.</x:v>
      </x:c>
      <x:c r="C19" t="str"/>
      <x:c r="D19" t="str"/>
      <x:c r="E19" t="str"/>
      <x:c r="F19" t="str"/>
    </x:row>
  </x:sheetData>
  <x:pageMargins left="0.7" right="0.7" top="0.75" bottom="0.75" header="0.3" footer="0.3"/>
  <x:tableParts count="1">
    <x:tablePart xmlns:r="http://schemas.openxmlformats.org/officeDocument/2006/relationships" r:id="Rf444b9e9ab0b49a2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30" hidden="0" customWidth="1"/>
    <x:col min="5" max="5" width="30" hidden="0" customWidth="1"/>
    <x:col min="6" max="6" width="18" hidden="0" customWidth="1"/>
    <x:col min="7" max="7" width="10" hidden="0" customWidth="1"/>
    <x:col min="8" max="8" width="10" hidden="0" customWidth="1"/>
    <x:col min="9" max="9" width="18" hidden="0" customWidth="1"/>
  </x:cols>
  <x:sheetData>
    <x:row r="1" ht="24" hidden="0" customHeight="1">
      <x:c r="A1" s="40" t="str">
        <x:v>Lộ trình từ PoC đến vận hành</x:v>
      </x:c>
      <x:c r="B1" s="41"/>
      <x:c r="C1" s="41"/>
      <x:c r="D1" s="41"/>
      <x:c r="E1" s="41"/>
      <x:c r="F1" s="41"/>
      <x:c r="G1" s="41"/>
      <x:c r="H1" s="41"/>
      <x:c r="I1" s="41"/>
    </x:row>
    <x:row r="2" ht="24" hidden="0" customHeight="1">
      <x:c r="A2" s="3" t="str">
        <x:v>Mỗi phase chỉ chuyển tiếp khi exit criteria đã có bằng chứng</x:v>
      </x:c>
      <x:c r="B2" s="3"/>
      <x:c r="C2" s="3"/>
      <x:c r="D2" s="3"/>
      <x:c r="E2" s="3"/>
      <x:c r="F2" s="3"/>
      <x:c r="G2" s="3"/>
      <x:c r="H2" s="3"/>
      <x:c r="I2" s="3"/>
    </x:row>
    <x:row r="3"/>
    <x:row r="4" ht="15" hidden="0" customHeight="1">
      <x:c r="A4" s="23" t="str">
        <x:v>Phase</x:v>
      </x:c>
      <x:c r="B4" s="23" t="str">
        <x:v>Mục tiêu</x:v>
      </x:c>
      <x:c r="C4" s="23" t="str">
        <x:v>Phạm vi</x:v>
      </x:c>
      <x:c r="D4" s="23" t="str">
        <x:v>Deliverable</x:v>
      </x:c>
      <x:c r="E4" s="23" t="str">
        <x:v>Exit criteria</x:v>
      </x:c>
      <x:c r="F4" s="23" t="str">
        <x:v>Owner</x:v>
      </x:c>
      <x:c r="G4" s="23" t="str">
        <x:v>Tuần</x:v>
      </x:c>
      <x:c r="H4" s="23" t="str">
        <x:v>Bắt đầu</x:v>
      </x:c>
      <x:c r="I4" s="23" t="str">
        <x:v>Trạng thái</x:v>
      </x:c>
    </x:row>
    <x:row r="5" ht="56" hidden="0" customHeight="1">
      <x:c r="A5" s="27" t="str">
        <x:v>0. PoC</x:v>
      </x:c>
      <x:c r="B5" s="27" t="str">
        <x:v>Chứng minh lifecycle</x:v>
      </x:c>
      <x:c r="C5" s="27" t="str">
        <x:v>Team + direct membership</x:v>
      </x:c>
      <x:c r="D5" s="27" t="str">
        <x:v>Evidence create/update/drift/import/remove</x:v>
      </x:c>
      <x:c r="E5" s="27" t="str">
        <x:v>Không có diff lặp; cleanup an toàn</x:v>
      </x:c>
      <x:c r="F5" s="27" t="str">
        <x:v>Platform</x:v>
      </x:c>
      <x:c r="G5" s="31" t="n">
        <x:v>2</x:v>
      </x:c>
      <x:c r="H5" s="31" t="n">
        <x:v>1</x:v>
      </x:c>
      <x:c r="I5" s="27" t="str">
        <x:v>Đang làm</x:v>
      </x:c>
    </x:row>
    <x:row r="6" ht="56" hidden="0" customHeight="1">
      <x:c r="A6" s="28" t="str">
        <x:v>1. Hardening</x:v>
      </x:c>
      <x:c r="B6" s="28" t="str">
        <x:v>Chuẩn hóa vận hành</x:v>
      </x:c>
      <x:c r="C6" s="28" t="str">
        <x:v>Credential, state, review</x:v>
      </x:c>
      <x:c r="D6" s="28" t="str">
        <x:v>GitHub App/PAT model; remote state; runbook</x:v>
      </x:c>
      <x:c r="E6" s="28" t="str">
        <x:v>Locking và least privilege đạt</x:v>
      </x:c>
      <x:c r="F6" s="28" t="str">
        <x:v>Platform lead</x:v>
      </x:c>
      <x:c r="G6" s="32" t="n">
        <x:v>2</x:v>
      </x:c>
      <x:c r="H6" s="32" t="n">
        <x:f>H5+G5</x:f>
        <x:v>3</x:v>
      </x:c>
      <x:c r="I6" s="28" t="str">
        <x:v>Chưa bắt đầu</x:v>
      </x:c>
    </x:row>
    <x:row r="7" ht="56" hidden="0" customHeight="1">
      <x:c r="A7" s="28" t="str">
        <x:v>2. Pilot</x:v>
      </x:c>
      <x:c r="B7" s="28" t="str">
        <x:v>Chạy với scope nhỏ</x:v>
      </x:c>
      <x:c r="C7" s="28" t="str">
        <x:v>2–3 team không critical</x:v>
      </x:c>
      <x:c r="D7" s="28" t="str">
        <x:v>PR workflow và audit evidence</x:v>
      </x:c>
      <x:c r="E7" s="28" t="str">
        <x:v>2 chu kỳ thay đổi ổn định</x:v>
      </x:c>
      <x:c r="F7" s="28" t="str">
        <x:v>Platform + team lead</x:v>
      </x:c>
      <x:c r="G7" s="32" t="n">
        <x:v>3</x:v>
      </x:c>
      <x:c r="H7" s="32" t="n">
        <x:f>H6+G6</x:f>
        <x:v>5</x:v>
      </x:c>
      <x:c r="I7" s="28" t="str">
        <x:v>Chưa bắt đầu</x:v>
      </x:c>
    </x:row>
    <x:row r="8" ht="56" hidden="0" customHeight="1">
      <x:c r="A8" s="28" t="str">
        <x:v>3. Migration</x:v>
      </x:c>
      <x:c r="B8" s="28" t="str">
        <x:v>Đưa team hiện hữu vào IaC</x:v>
      </x:c>
      <x:c r="C8" s="28" t="str">
        <x:v>Import theo từng đợt</x:v>
      </x:c>
      <x:c r="D8" s="28" t="str">
        <x:v>Catalog team/membership có owner</x:v>
      </x:c>
      <x:c r="E8" s="28" t="str">
        <x:v>Import không gây update ngoài dự kiến</x:v>
      </x:c>
      <x:c r="F8" s="28" t="str">
        <x:v>Platform</x:v>
      </x:c>
      <x:c r="G8" s="32" t="n">
        <x:v>4</x:v>
      </x:c>
      <x:c r="H8" s="32" t="n">
        <x:f>H7+G7</x:f>
        <x:v>8</x:v>
      </x:c>
      <x:c r="I8" s="28" t="str">
        <x:v>Chưa bắt đầu</x:v>
      </x:c>
    </x:row>
    <x:row r="9" ht="56" hidden="0" customHeight="1">
      <x:c r="A9" s="28" t="str">
        <x:v>4. BAU</x:v>
      </x:c>
      <x:c r="B9" s="28" t="str">
        <x:v>Vận hành thường xuyên</x:v>
      </x:c>
      <x:c r="C9" s="28" t="str">
        <x:v>Team lifecycle chuẩn</x:v>
      </x:c>
      <x:c r="D9" s="28" t="str">
        <x:v>SLA, review định kỳ, break-glass</x:v>
      </x:c>
      <x:c r="E9" s="28" t="str">
        <x:v>Không còn thay đổi UI không reconcile</x:v>
      </x:c>
      <x:c r="F9" s="28" t="str">
        <x:v>Platform ops</x:v>
      </x:c>
      <x:c r="G9" s="32"/>
      <x:c r="H9" s="32" t="n">
        <x:f>H8+G8</x:f>
        <x:v>12</x:v>
      </x:c>
      <x:c r="I9" s="28" t="str">
        <x:v>Chưa bắt đầu</x:v>
      </x:c>
    </x:row>
    <x:row r="10"/>
    <x:row r="11"/>
    <x:row r="12" ht="15" hidden="0" customHeight="1">
      <x:c r="A12" s="6" t="str">
        <x:v>Điều kiện không được bỏ qua</x:v>
      </x:c>
      <x:c r="B12" s="7"/>
      <x:c r="C12" s="7"/>
      <x:c r="D12" s="7"/>
      <x:c r="E12" s="7"/>
      <x:c r="F12" s="7"/>
      <x:c r="G12" s="7"/>
      <x:c r="H12" s="7"/>
      <x:c r="I12" s="8"/>
    </x:row>
    <x:row r="13" ht="15" hidden="0" customHeight="1">
      <x:c r="A13" s="23" t="str">
        <x:v>Điều kiện</x:v>
      </x:c>
      <x:c r="B13" s="23" t="str">
        <x:v>Tại sao</x:v>
      </x:c>
      <x:c r="C13" s="23" t="str">
        <x:v>Quyết định</x:v>
      </x:c>
    </x:row>
    <x:row r="14" ht="24" hidden="0" customHeight="1">
      <x:c r="A14" s="27" t="str">
        <x:v>Remote state + locking</x:v>
      </x:c>
      <x:c r="B14" s="27" t="str">
        <x:v>Tránh mất state và apply đồng thời</x:v>
      </x:c>
      <x:c r="C14" s="27" t="str">
        <x:v>Bắt buộc trước Pilot</x:v>
      </x:c>
    </x:row>
    <x:row r="15" ht="24" hidden="0" customHeight="1">
      <x:c r="A15" s="28" t="str">
        <x:v>Credential tách cá nhân</x:v>
      </x:c>
      <x:c r="B15" s="28" t="str">
        <x:v>Giảm phụ thuộc owner/PAT cá nhân</x:v>
      </x:c>
      <x:c r="C15" s="28" t="str">
        <x:v>Bắt buộc trước BAU</x:v>
      </x:c>
    </x:row>
    <x:row r="16" ht="24" hidden="0" customHeight="1">
      <x:c r="A16" s="28" t="str">
        <x:v>PR + plan review</x:v>
      </x:c>
      <x:c r="B16" s="28" t="str">
        <x:v>Kiểm soát destroy/replace và audit</x:v>
      </x:c>
      <x:c r="C16" s="28" t="str">
        <x:v>Bắt buộc trước Pilot</x:v>
      </x:c>
    </x:row>
    <x:row r="17" ht="24" hidden="0" customHeight="1">
      <x:c r="A17" s="28" t="str">
        <x:v>Runbook nested deletion</x:v>
      </x:c>
      <x:c r="B17" s="28" t="str">
        <x:v>Parent delete có thể cascade ngoài state</x:v>
      </x:c>
      <x:c r="C17" s="28" t="str">
        <x:v>Bắt buộc trước Migration</x:v>
      </x:c>
    </x:row>
  </x:sheetData>
  <x:conditionalFormatting sqref="I5:I9">
    <x:cfRule type="cellIs" dxfId="4" priority="1" operator="equal">
      <x:formula>"Đạt"</x:formula>
    </x:cfRule>
    <x:cfRule type="cellIs" dxfId="5" priority="2" operator="equal">
      <x:formula>"Đạt một phần"</x:formula>
    </x:cfRule>
    <x:cfRule type="cellIs" dxfId="6" priority="3" operator="equal">
      <x:formula>"Chưa chạy"</x:formula>
    </x:cfRule>
    <x:cfRule type="cellIs" dxfId="7" priority="4" operator="equal">
      <x:formula>"Chặn"</x:formula>
    </x:cfRule>
  </x:conditionalFormatting>
  <x:dataValidations count="1">
    <x:dataValidation type="list" sqref="I5:I9">
      <x:formula1>"Hoàn tất,Đang làm,Chưa bắt đầu,Chặn"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315137d88e4f77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31" hidden="0" customWidth="1"/>
    <x:col min="4" max="4" width="31" hidden="0" customWidth="1"/>
    <x:col min="5" max="5" width="17" hidden="0" customWidth="1"/>
    <x:col min="6" max="6" width="18" hidden="0" customWidth="1"/>
    <x:col min="7" max="7" width="31" hidden="0" customWidth="1"/>
  </x:cols>
  <x:sheetData>
    <x:row r="1" ht="24" hidden="0" customHeight="1">
      <x:c r="A1" s="40" t="str">
        <x:v>Kiểm thử và rủi ro quyết định</x:v>
      </x:c>
      <x:c r="B1" s="41"/>
      <x:c r="C1" s="41"/>
      <x:c r="D1" s="41"/>
      <x:c r="E1" s="41"/>
      <x:c r="F1" s="41"/>
      <x:c r="G1" s="41"/>
    </x:row>
    <x:row r="2" ht="24" hidden="0" customHeight="1">
      <x:c r="A2" s="3" t="str">
        <x:v>Chỉ giữ các case ảnh hưởng trực tiếp đến quyết định Go/No-go</x:v>
      </x:c>
      <x:c r="B2" s="3"/>
      <x:c r="C2" s="3"/>
      <x:c r="D2" s="3"/>
      <x:c r="E2" s="3"/>
      <x:c r="F2" s="3"/>
      <x:c r="G2" s="3"/>
    </x:row>
    <x:row r="3"/>
    <x:row r="4" ht="15" hidden="0" customHeight="1">
      <x:c r="A4" s="23" t="str">
        <x:v>Đã đạt</x:v>
      </x:c>
      <x:c r="B4" s="23" t="str">
        <x:v>Đạt một phần</x:v>
      </x:c>
      <x:c r="C4" s="23" t="str">
        <x:v>Chưa chạy</x:v>
      </x:c>
      <x:c r="D4" s="23" t="str">
        <x:v>Chặn</x:v>
      </x:c>
    </x:row>
    <x:row r="5" ht="16.799999237060547" hidden="0" customHeight="1">
      <x:c r="A5" s="39" t="n">
        <x:f>COUNTIF($E$9:$E$20,"Đạt")</x:f>
        <x:v>3</x:v>
      </x:c>
      <x:c r="B5" s="39" t="n">
        <x:f>COUNTIF($E$9:$E$20,"Đạt một phần")</x:f>
        <x:v>2</x:v>
      </x:c>
      <x:c r="C5" s="39" t="n">
        <x:f>COUNTIF($E$9:$E$20,"Chưa chạy")</x:f>
        <x:v>6</x:v>
      </x:c>
      <x:c r="D5" s="39" t="n">
        <x:f>COUNTIF($E$9:$E$20,"Chặn")</x:f>
        <x:v>1</x:v>
      </x:c>
    </x:row>
    <x:row r="6"/>
    <x:row r="7"/>
    <x:row r="8" ht="15" hidden="0" customHeight="1">
      <x:c r="A8" s="23" t="str">
        <x:v>ID</x:v>
      </x:c>
      <x:c r="B8" s="23" t="str">
        <x:v>Case</x:v>
      </x:c>
      <x:c r="C8" s="23" t="str">
        <x:v>Rủi ro được kiểm</x:v>
      </x:c>
      <x:c r="D8" s="23" t="str">
        <x:v>Bằng chứng hiện tại</x:v>
      </x:c>
      <x:c r="E8" s="23" t="str">
        <x:v>Trạng thái</x:v>
      </x:c>
      <x:c r="F8" s="23" t="str">
        <x:v>Owner</x:v>
      </x:c>
      <x:c r="G8" s="23" t="str">
        <x:v>Bước kế tiếp</x:v>
      </x:c>
    </x:row>
    <x:row r="9" ht="50" hidden="0" customHeight="1">
      <x:c r="A9" s="27" t="str">
        <x:v>CREATE-01</x:v>
      </x:c>
      <x:c r="B9" s="27" t="str">
        <x:v>Create + convergence</x:v>
      </x:c>
      <x:c r="C9" s="27" t="str">
        <x:v>Provider/state không ổn định</x:v>
      </x:c>
      <x:c r="D9" s="27" t="str">
        <x:v>2 add; follow-up plan = 0</x:v>
      </x:c>
      <x:c r="E9" s="27" t="str">
        <x:v>Đạt</x:v>
      </x:c>
      <x:c r="F9" s="27" t="str">
        <x:v>Platform</x:v>
      </x:c>
      <x:c r="G9" s="27" t="str">
        <x:v>Giữ regression check</x:v>
      </x:c>
    </x:row>
    <x:row r="10" ht="50" hidden="0" customHeight="1">
      <x:c r="A10" s="28" t="str">
        <x:v>AUTH-01</x:v>
      </x:c>
      <x:c r="B10" s="28" t="str">
        <x:v>Apply thiếu token</x:v>
      </x:c>
      <x:c r="C10" s="28" t="str">
        <x:v>Anonymous fallback</x:v>
      </x:c>
      <x:c r="D10" s="28" t="str">
        <x:v>401 trước mutation</x:v>
      </x:c>
      <x:c r="E10" s="28" t="str">
        <x:v>Đạt</x:v>
      </x:c>
      <x:c r="F10" s="28" t="str">
        <x:v>Platform</x:v>
      </x:c>
      <x:c r="G10" s="28" t="str">
        <x:v>Chuẩn hóa auth wrapper</x:v>
      </x:c>
    </x:row>
    <x:row r="11" ht="50" hidden="0" customHeight="1">
      <x:c r="A11" s="28" t="str">
        <x:v>MEMBER-01</x:v>
      </x:c>
      <x:c r="B11" s="28" t="str">
        <x:v>User ngoài org</x:v>
      </x:c>
      <x:c r="C11" s="28" t="str">
        <x:v>IaC vô tình mời user</x:v>
      </x:c>
      <x:c r="D11" s="28" t="str">
        <x:v>404; plan exit 1; không mutation</x:v>
      </x:c>
      <x:c r="E11" s="28" t="str">
        <x:v>Đạt</x:v>
      </x:c>
      <x:c r="F11" s="28" t="str">
        <x:v>Org owner</x:v>
      </x:c>
      <x:c r="G11" s="28" t="str">
        <x:v>Giữ guard</x:v>
      </x:c>
    </x:row>
    <x:row r="12" ht="50" hidden="0" customHeight="1">
      <x:c r="A12" s="28" t="str">
        <x:v>MEMBER-02</x:v>
      </x:c>
      <x:c r="B12" s="28" t="str">
        <x:v>Invitation pending</x:v>
      </x:c>
      <x:c r="C12" s="28" t="str">
        <x:v>Membership tạo trước khi accept</x:v>
      </x:c>
      <x:c r="D12" s="28" t="str">
        <x:v>Chưa có invitation</x:v>
      </x:c>
      <x:c r="E12" s="28" t="str">
        <x:v>Chặn</x:v>
      </x:c>
      <x:c r="F12" s="28" t="str">
        <x:v>Org owner</x:v>
      </x:c>
      <x:c r="G12" s="28" t="str">
        <x:v>Invite phuc776 nhưng chưa accept</x:v>
      </x:c>
    </x:row>
    <x:row r="13" ht="50" hidden="0" customHeight="1">
      <x:c r="A13" s="28" t="str">
        <x:v>MEMBER-03</x:v>
      </x:c>
      <x:c r="B13" s="28" t="str">
        <x:v>User active</x:v>
      </x:c>
      <x:c r="C13" s="28" t="str">
        <x:v>Dependency không hội tụ</x:v>
      </x:c>
      <x:c r="D13" s="28" t="str">
        <x:v>Chưa chạy</x:v>
      </x:c>
      <x:c r="E13" s="28" t="str">
        <x:v>Chưa chạy</x:v>
      </x:c>
      <x:c r="F13" s="28" t="str">
        <x:v>phuc776</x:v>
      </x:c>
      <x:c r="G13" s="28" t="str">
        <x:v>Accept rồi plan/apply</x:v>
      </x:c>
    </x:row>
    <x:row r="14" ht="50" hidden="0" customHeight="1">
      <x:c r="A14" s="28" t="str">
        <x:v>ROLE-02</x:v>
      </x:c>
      <x:c r="B14" s="28" t="str">
        <x:v>member ↔ maintainer</x:v>
      </x:c>
      <x:c r="C14" s="28" t="str">
        <x:v>Role drift/recreate</x:v>
      </x:c>
      <x:c r="D14" s="28" t="str">
        <x:v>Mock đạt</x:v>
      </x:c>
      <x:c r="E14" s="28" t="str">
        <x:v>Chưa chạy</x:v>
      </x:c>
      <x:c r="F14" s="28" t="str">
        <x:v>Platform</x:v>
      </x:c>
      <x:c r="G14" s="28" t="str">
        <x:v>Dùng phuc776</x:v>
      </x:c>
    </x:row>
    <x:row r="15" ht="50" hidden="0" customHeight="1">
      <x:c r="A15" s="28" t="str">
        <x:v>TEAM-01</x:v>
      </x:c>
      <x:c r="B15" s="28" t="str">
        <x:v>Rename/update</x:v>
      </x:c>
      <x:c r="C15" s="28" t="str">
        <x:v>Destroy/recreate ngoài ý muốn</x:v>
      </x:c>
      <x:c r="D15" s="28" t="str">
        <x:v>Preview giữ ID 19806617</x:v>
      </x:c>
      <x:c r="E15" s="28" t="str">
        <x:v>Đạt một phần</x:v>
      </x:c>
      <x:c r="F15" s="28" t="str">
        <x:v>Platform</x:v>
      </x:c>
      <x:c r="G15" s="28" t="str">
        <x:v>Apply sau member active</x:v>
      </x:c>
    </x:row>
    <x:row r="16" ht="50" hidden="0" customHeight="1">
      <x:c r="A16" s="28" t="str">
        <x:v>NEST-01</x:v>
      </x:c>
      <x:c r="B16" s="28" t="str">
        <x:v>Infra parent + Argo CD child</x:v>
      </x:c>
      <x:c r="C16" s="28" t="str">
        <x:v>Sai dependency/privacy</x:v>
      </x:c>
      <x:c r="D16" s="28" t="str">
        <x:v>Preview 1 child create</x:v>
      </x:c>
      <x:c r="E16" s="28" t="str">
        <x:v>Đạt một phần</x:v>
      </x:c>
      <x:c r="F16" s="28" t="str">
        <x:v>Platform</x:v>
      </x:c>
      <x:c r="G16" s="28" t="str">
        <x:v>Apply và verify parent ID</x:v>
      </x:c>
    </x:row>
    <x:row r="17" ht="50" hidden="0" customHeight="1">
      <x:c r="A17" s="28" t="str">
        <x:v>DRIFT-01</x:v>
      </x:c>
      <x:c r="B17" s="28" t="str">
        <x:v>Manual UI drift</x:v>
      </x:c>
      <x:c r="C17" s="28" t="str">
        <x:v>IaC không phát hiện thay đổi</x:v>
      </x:c>
      <x:c r="D17" s="28" t="str">
        <x:v>Chưa chạy</x:v>
      </x:c>
      <x:c r="E17" s="28" t="str">
        <x:v>Chưa chạy</x:v>
      </x:c>
      <x:c r="F17" s="28" t="str">
        <x:v>Team lead</x:v>
      </x:c>
      <x:c r="G17" s="28" t="str">
        <x:v>Sửa description trên UI</x:v>
      </x:c>
    </x:row>
    <x:row r="18" ht="50" hidden="0" customHeight="1">
      <x:c r="A18" s="28" t="str">
        <x:v>IMPORT-01</x:v>
      </x:c>
      <x:c r="B18" s="28" t="str">
        <x:v>Import team/membership</x:v>
      </x:c>
      <x:c r="C18" s="28" t="str">
        <x:v>Update/replace khi import</x:v>
      </x:c>
      <x:c r="D18" s="28" t="str">
        <x:v>Chưa chạy</x:v>
      </x:c>
      <x:c r="E18" s="28" t="str">
        <x:v>Chưa chạy</x:v>
      </x:c>
      <x:c r="F18" s="28" t="str">
        <x:v>Platform</x:v>
      </x:c>
      <x:c r="G18" s="28" t="str">
        <x:v>Dùng team disposable</x:v>
      </x:c>
    </x:row>
    <x:row r="19" ht="50" hidden="0" customHeight="1">
      <x:c r="A19" s="28" t="str">
        <x:v>REMOVE-01</x:v>
      </x:c>
      <x:c r="B19" s="28" t="str">
        <x:v>Remove membership</x:v>
      </x:c>
      <x:c r="C19" s="28" t="str">
        <x:v>Xóa nhầm org member</x:v>
      </x:c>
      <x:c r="D19" s="28" t="str">
        <x:v>Chưa chạy</x:v>
      </x:c>
      <x:c r="E19" s="28" t="str">
        <x:v>Chưa chạy</x:v>
      </x:c>
      <x:c r="F19" s="28" t="str">
        <x:v>Platform</x:v>
      </x:c>
      <x:c r="G19" s="28" t="str">
        <x:v>Plan/show/apply relationship</x:v>
      </x:c>
    </x:row>
    <x:row r="20" ht="50" hidden="0" customHeight="1">
      <x:c r="A20" s="28" t="str">
        <x:v>DELETE-01</x:v>
      </x:c>
      <x:c r="B20" s="28" t="str">
        <x:v>Delete parent</x:v>
      </x:c>
      <x:c r="C20" s="28" t="str">
        <x:v>Cascade unmanaged child</x:v>
      </x:c>
      <x:c r="D20" s="28" t="str">
        <x:v>Chưa chạy</x:v>
      </x:c>
      <x:c r="E20" s="28" t="str">
        <x:v>Chưa chạy</x:v>
      </x:c>
      <x:c r="F20" s="28" t="str">
        <x:v>Org owner</x:v>
      </x:c>
      <x:c r="G20" s="28" t="str">
        <x:v>Chỉ đánh giá sau inventory</x:v>
      </x:c>
    </x:row>
    <x:row r="21"/>
    <x:row r="22"/>
    <x:row r="23" ht="15" hidden="0" customHeight="1">
      <x:c r="A23" s="6" t="str">
        <x:v>Rủi ro và kiểm soát bắt buộc</x:v>
      </x:c>
      <x:c r="B23" s="7"/>
      <x:c r="C23" s="7"/>
      <x:c r="D23" s="7"/>
      <x:c r="E23" s="7"/>
      <x:c r="F23" s="7"/>
      <x:c r="G23" s="8"/>
    </x:row>
    <x:row r="24" ht="15" hidden="0" customHeight="1">
      <x:c r="A24" s="23" t="str">
        <x:v>Rủi ro</x:v>
      </x:c>
      <x:c r="B24" s="23" t="str">
        <x:v>Khả năng</x:v>
      </x:c>
      <x:c r="C24" s="23" t="str">
        <x:v>Tác động</x:v>
      </x:c>
      <x:c r="D24" s="23" t="str">
        <x:v>Kiểm soát</x:v>
      </x:c>
      <x:c r="E24" s="23" t="str">
        <x:v>Khi nào</x:v>
      </x:c>
      <x:c r="F24" s="23" t="str">
        <x:v>Owner</x:v>
      </x:c>
      <x:c r="G24" s="23" t="str">
        <x:v>Mức còn lại</x:v>
      </x:c>
    </x:row>
    <x:row r="25" ht="48" hidden="0" customHeight="1">
      <x:c r="A25" s="27" t="str">
        <x:v>Token quyền rộng</x:v>
      </x:c>
      <x:c r="B25" s="27" t="str">
        <x:v>Trung bình</x:v>
      </x:c>
      <x:c r="C25" s="27" t="str">
        <x:v>Cao</x:v>
      </x:c>
      <x:c r="D25" s="27" t="str">
        <x:v>GitHub App/PAT ngắn hạn; least privilege; rotation</x:v>
      </x:c>
      <x:c r="E25" s="27" t="str">
        <x:v>Trước Pilot</x:v>
      </x:c>
      <x:c r="F25" s="27" t="str">
        <x:v>Org owner</x:v>
      </x:c>
      <x:c r="G25" s="27" t="str">
        <x:v>Trung bình</x:v>
      </x:c>
    </x:row>
    <x:row r="26" ht="48" hidden="0" customHeight="1">
      <x:c r="A26" s="28" t="str">
        <x:v>State local bị mất/xung đột</x:v>
      </x:c>
      <x:c r="B26" s="28" t="str">
        <x:v>Cao</x:v>
      </x:c>
      <x:c r="C26" s="28" t="str">
        <x:v>Cao</x:v>
      </x:c>
      <x:c r="D26" s="28" t="str">
        <x:v>Remote backend, encryption, locking, backup</x:v>
      </x:c>
      <x:c r="E26" s="28" t="str">
        <x:v>Trước Pilot</x:v>
      </x:c>
      <x:c r="F26" s="28" t="str">
        <x:v>Platform lead</x:v>
      </x:c>
      <x:c r="G26" s="28" t="str">
        <x:v>Thấp</x:v>
      </x:c>
    </x:row>
    <x:row r="27" ht="48" hidden="0" customHeight="1">
      <x:c r="A27" s="28" t="str">
        <x:v>Parent delete cascade</x:v>
      </x:c>
      <x:c r="B27" s="28" t="str">
        <x:v>Thấp</x:v>
      </x:c>
      <x:c r="C27" s="28" t="str">
        <x:v>Cao</x:v>
      </x:c>
      <x:c r="D27" s="28" t="str">
        <x:v>Inventory child/access; plan review; runbook</x:v>
      </x:c>
      <x:c r="E27" s="28" t="str">
        <x:v>Trước Migration</x:v>
      </x:c>
      <x:c r="F27" s="28" t="str">
        <x:v>Org owner</x:v>
      </x:c>
      <x:c r="G27" s="28" t="str">
        <x:v>Trung bình</x:v>
      </x:c>
    </x:row>
    <x:row r="28" ht="48" hidden="0" customHeight="1">
      <x:c r="A28" s="28" t="str">
        <x:v>Manual drift không reconcile</x:v>
      </x:c>
      <x:c r="B28" s="28" t="str">
        <x:v>Trung bình</x:v>
      </x:c>
      <x:c r="C28" s="28" t="str">
        <x:v>Trung bình</x:v>
      </x:c>
      <x:c r="D28" s="28" t="str">
        <x:v>Scheduled plan; break-glass PR trong ngày kế tiếp</x:v>
      </x:c>
      <x:c r="E28" s="28" t="str">
        <x:v>BAU</x:v>
      </x:c>
      <x:c r="F28" s="28" t="str">
        <x:v>Platform ops</x:v>
      </x:c>
      <x:c r="G28" s="28" t="str">
        <x:v>Thấp</x:v>
      </x:c>
    </x:row>
    <x:row r="29" ht="48" hidden="0" customHeight="1">
      <x:c r="A29" s="28" t="str">
        <x:v>Inherited membership bị hiểu sai</x:v>
      </x:c>
      <x:c r="B29" s="28" t="str">
        <x:v>Trung bình</x:v>
      </x:c>
      <x:c r="C29" s="28" t="str">
        <x:v>Trung bình</x:v>
      </x:c>
      <x:c r="D29" s="28" t="str">
        <x:v>Catalog direct/inherited; test hierarchy</x:v>
      </x:c>
      <x:c r="E29" s="28" t="str">
        <x:v>Trước Pilot</x:v>
      </x:c>
      <x:c r="F29" s="28" t="str">
        <x:v>Platform</x:v>
      </x:c>
      <x:c r="G29" s="28" t="str">
        <x:v>Thấp</x:v>
      </x:c>
    </x:row>
    <x:row r="30" ht="48" hidden="0" customHeight="1">
      <x:c r="A30" s="28" t="str">
        <x:v>IdP/SCIM conflict</x:v>
      </x:c>
      <x:c r="B30" s="28" t="str">
        <x:v>Thấp</x:v>
      </x:c>
      <x:c r="C30" s="28" t="str">
        <x:v>Cao</x:v>
      </x:c>
      <x:c r="D30" s="28" t="str">
        <x:v>Loại synchronized team khỏi Terraform scope</x:v>
      </x:c>
      <x:c r="E30" s="28" t="str">
        <x:v>Trước Migration</x:v>
      </x:c>
      <x:c r="F30" s="28" t="str">
        <x:v>Identity team</x:v>
      </x:c>
      <x:c r="G30" s="28" t="str">
        <x:v>Thấp</x:v>
      </x:c>
    </x:row>
    <x:row r="31"/>
    <x:row r="32"/>
    <x:row r="33" ht="15" hidden="0" customHeight="1">
      <x:c r="A33" s="23" t="str">
        <x:v>Nguồn</x:v>
      </x:c>
      <x:c r="B33" s="23" t="str">
        <x:v>URL</x:v>
      </x:c>
    </x:row>
    <x:row r="34" ht="36" hidden="0" customHeight="1">
      <x:c r="A34" s="27" t="str">
        <x:v>GitHub Provider</x:v>
      </x:c>
      <x:c r="B34" s="27" t="str">
        <x:v>https://github.com/integrations/terraform-provider-github/tree/v6.13.0/docs</x:v>
      </x:c>
    </x:row>
    <x:row r="35" ht="36" hidden="0" customHeight="1">
      <x:c r="A35" s="28" t="str">
        <x:v>Team resource</x:v>
      </x:c>
      <x:c r="B35" s="28" t="str">
        <x:v>https://registry.terraform.io/providers/integrations/github/latest/docs/resources/team</x:v>
      </x:c>
    </x:row>
    <x:row r="36" ht="36" hidden="0" customHeight="1">
      <x:c r="A36" s="28" t="str">
        <x:v>Team membership resource</x:v>
      </x:c>
      <x:c r="B36" s="28" t="str">
        <x:v>https://registry.terraform.io/providers/integrations/github/latest/docs/resources/team_membership</x:v>
      </x:c>
    </x:row>
    <x:row r="37" ht="24" hidden="0" customHeight="1">
      <x:c r="A37" s="28" t="str">
        <x:v>GitHub team API</x:v>
      </x:c>
      <x:c r="B37" s="28" t="str">
        <x:v>https://docs.github.com/en/rest/teams/teams</x:v>
      </x:c>
    </x:row>
    <x:row r="38" ht="24" hidden="0" customHeight="1">
      <x:c r="A38" s="28" t="str">
        <x:v>GitHub organization membership API</x:v>
      </x:c>
      <x:c r="B38" s="28" t="str">
        <x:v>https://docs.github.com/en/rest/orgs/members</x:v>
      </x:c>
    </x:row>
  </x:sheetData>
  <x:conditionalFormatting sqref="E9:E20">
    <x:cfRule type="cellIs" dxfId="8" priority="1" operator="equal">
      <x:formula>"Đạt"</x:formula>
    </x:cfRule>
    <x:cfRule type="cellIs" dxfId="9" priority="2" operator="equal">
      <x:formula>"Đạt một phần"</x:formula>
    </x:cfRule>
    <x:cfRule type="cellIs" dxfId="10" priority="3" operator="equal">
      <x:formula>"Chưa chạy"</x:formula>
    </x:cfRule>
    <x:cfRule type="cellIs" dxfId="11" priority="4" operator="equal">
      <x:formula>"Chặn"</x:formula>
    </x:cfRule>
  </x:conditionalFormatting>
  <x:dataValidations count="1">
    <x:dataValidation type="list" sqref="E9:E20">
      <x:formula1>"Đạt,Đạt một phần,Chưa chạy,Chặn"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bd8d760829d4111"/>
    <x:tablePart xmlns:r="http://schemas.openxmlformats.org/officeDocument/2006/relationships" r:id="R5e504cc6da7148ec"/>
  </x:tableParts>
</x:worksheet>
</file>